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Avaliação" sheetId="3" state="visible" r:id="rId3"/>
    <sheet xmlns:r="http://schemas.openxmlformats.org/officeDocument/2006/relationships" name="Listas" sheetId="4" state="hidden" r:id="rId4"/>
    <sheet xmlns:r="http://schemas.openxmlformats.org/officeDocument/2006/relationships" name="Ajustes" sheetId="5" state="visible" r:id="rId5"/>
  </sheets>
  <definedNames>
    <definedName name="_xlnm._FilterDatabase" localSheetId="2" hidden="1">'Avaliação'!$A$1:$R$55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color rgb="007F7F7F"/>
      <sz val="10"/>
    </font>
    <font>
      <name val="Arial"/>
      <sz val="9"/>
    </font>
    <font>
      <name val="Arial"/>
    </font>
    <font>
      <name val="Arial"/>
      <b val="1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0" pivotButton="0" quotePrefix="0" xfId="0"/>
    <xf numFmtId="0" fontId="5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9" fontId="8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/>
    </xf>
    <xf numFmtId="0" fontId="6" fillId="4" borderId="1" pivotButton="0" quotePrefix="0" xfId="0"/>
    <xf numFmtId="0" fontId="6" fillId="0" borderId="1" pivotButton="0" quotePrefix="0" xfId="0"/>
    <xf numFmtId="0" fontId="6" fillId="5" borderId="1" applyAlignment="1" pivotButton="0" quotePrefix="0" xfId="0">
      <alignment vertical="top"/>
    </xf>
    <xf numFmtId="0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validacao</author>
  </authors>
  <commentList>
    <comment ref="L1" authorId="0" shapeId="0">
      <text>
        <t>Escolha na lista. nao_verificavel = você também não conseguiu concluir.</t>
      </text>
    </comment>
    <comment ref="G40" authorId="0" shapeId="0">
      <text>
        <t>Antes: nao_atende. Confira esta linha.</t>
      </text>
    </comment>
    <comment ref="G53" authorId="0" shapeId="0">
      <text>
        <t>Antes: parcial. Confira esta linha.</t>
      </text>
    </comment>
    <comment ref="G54" authorId="0" shapeId="0">
      <text>
        <t>Antes: parcial. Confira esta linha.</t>
      </text>
    </comment>
    <comment ref="G55" authorId="0" shapeId="0">
      <text>
        <t>Antes: inconclusivo. Confira esta linha.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japeri.rj.gov.br/" TargetMode="External" Id="rId1"/><Relationship Type="http://schemas.openxmlformats.org/officeDocument/2006/relationships/hyperlink" Target="https://japeri.rj.gov.br/links/" TargetMode="External" Id="rId2"/><Relationship Type="http://schemas.openxmlformats.org/officeDocument/2006/relationships/hyperlink" Target="https://japeri.rj.gov.br/" TargetMode="External" Id="rId3"/><Relationship Type="http://schemas.openxmlformats.org/officeDocument/2006/relationships/hyperlink" Target="https://japeri.geosiap.net.br/portal-transparencia/api-docs#!/RH_-_Servidores/get_rh_servidores_organograma" TargetMode="External" Id="rId4"/><Relationship Type="http://schemas.openxmlformats.org/officeDocument/2006/relationships/hyperlink" Target="https://japeri.rj.gov.br/" TargetMode="External" Id="rId5"/><Relationship Type="http://schemas.openxmlformats.org/officeDocument/2006/relationships/hyperlink" Target="https://japeri.rj.gov.br/" TargetMode="External" Id="rId6"/><Relationship Type="http://schemas.openxmlformats.org/officeDocument/2006/relationships/hyperlink" Target="https://japeri.geosiap.net.br/portal-transparencia" TargetMode="External" Id="rId7"/><Relationship Type="http://schemas.openxmlformats.org/officeDocument/2006/relationships/hyperlink" Target="https://japeri.rj.gov.br/contato/" TargetMode="External" Id="rId8"/><Relationship Type="http://schemas.openxmlformats.org/officeDocument/2006/relationships/hyperlink" Target="https://japeri.geosiap.net.br/portal-transparencia/api/execucao/receitas/proprias/receitas_proprias?id_entidade=10&amp;ano=2026&amp;layout=anual" TargetMode="External" Id="rId9"/><Relationship Type="http://schemas.openxmlformats.org/officeDocument/2006/relationships/hyperlink" Target="https://online.swagger.io/validator/debug?url=https://japeri.geosiap.net.br/portal-transparencia/api-docs/v1/swagger.json" TargetMode="External" Id="rId10"/><Relationship Type="http://schemas.openxmlformats.org/officeDocument/2006/relationships/hyperlink" Target="https://japeri.geosiap.net.br/portal-transparencia/api/execucao/empenhos/empenhos?id_entidade=10&amp;ano=2026" TargetMode="External" Id="rId11"/><Relationship Type="http://schemas.openxmlformats.org/officeDocument/2006/relationships/hyperlink" Target="https://online.swagger.io/validator/debug?url=https://japeri.geosiap.net.br/portal-transparencia/api-docs/v1/swagger.json" TargetMode="External" Id="rId12"/><Relationship Type="http://schemas.openxmlformats.org/officeDocument/2006/relationships/hyperlink" Target="https://japeri.geosiap.net.br/portal-transparencia/api-docs#!/Execucao_-_Despesas_Detalhadas/get_execucao_despesas_detalhadas_empenhos" TargetMode="External" Id="rId13"/><Relationship Type="http://schemas.openxmlformats.org/officeDocument/2006/relationships/hyperlink" Target="https://japeri.geosiap.net.br/portal-transparencia/api-docs#!/Execucao_-_Despesas_Detalhadas/get_execucao_despesas_detalhadas_empenhos" TargetMode="External" Id="rId14"/><Relationship Type="http://schemas.openxmlformats.org/officeDocument/2006/relationships/hyperlink" Target="https://japeri.geosiap.net.br/portal-transparencia" TargetMode="External" Id="rId15"/><Relationship Type="http://schemas.openxmlformats.org/officeDocument/2006/relationships/hyperlink" Target="https://japeri.rj.gov.br/" TargetMode="External" Id="rId16"/><Relationship Type="http://schemas.openxmlformats.org/officeDocument/2006/relationships/hyperlink" Target="https://japeri.rj.gov.br/service/acesso-a-informacao/" TargetMode="External" Id="rId17"/><Relationship Type="http://schemas.openxmlformats.org/officeDocument/2006/relationships/hyperlink" Target="https://japeri.rj.gov.br/service/acesso-a-informacao/" TargetMode="External" Id="rId18"/><Relationship Type="http://schemas.openxmlformats.org/officeDocument/2006/relationships/hyperlink" Target="https://japeri.geosiap.net.br/pmjaperi/websis/siapegov/administrativo/aten/aten_valida.php" TargetMode="External" Id="rId19"/><Relationship Type="http://schemas.openxmlformats.org/officeDocument/2006/relationships/hyperlink" Target="https://japeri.geosiap.net.br/portal-transparencia" TargetMode="External" Id="rId20"/><Relationship Type="http://schemas.openxmlformats.org/officeDocument/2006/relationships/hyperlink" Target="https://japeri.geosiap.net.br/portal-transparencia" TargetMode="External" Id="rId21"/><Relationship Type="http://schemas.openxmlformats.org/officeDocument/2006/relationships/hyperlink" Target="https://japeri.rj.gov.br/" TargetMode="External" Id="rId22"/><Relationship Type="http://schemas.openxmlformats.org/officeDocument/2006/relationships/hyperlink" Target="https://online.swagger.io/validator/debug?url=https://japeri.geosiap.net.br/portal-transparencia/api-docs/v1/swagger.json" TargetMode="External" Id="rId23"/><Relationship Type="http://schemas.openxmlformats.org/officeDocument/2006/relationships/hyperlink" Target="https://japeri.geosiap.net.br/portal-transparencia" TargetMode="External" Id="rId24"/><Relationship Type="http://schemas.openxmlformats.org/officeDocument/2006/relationships/hyperlink" Target="https://japeri.geosiap.net.br/portal-transparencia" TargetMode="External" Id="rId25"/><Relationship Type="http://schemas.openxmlformats.org/officeDocument/2006/relationships/hyperlink" Target="https://japeri.geosiap.net.br/portal-transparencia" TargetMode="External" Id="rId26"/><Relationship Type="http://schemas.openxmlformats.org/officeDocument/2006/relationships/hyperlink" Target="https://japeri.geosiap.net.br/portal-transparencia" TargetMode="External" Id="rId27"/><Relationship Type="http://schemas.openxmlformats.org/officeDocument/2006/relationships/hyperlink" Target="https://prefeitura.rio/" TargetMode="External" Id="rId28"/><Relationship Type="http://schemas.openxmlformats.org/officeDocument/2006/relationships/hyperlink" Target="https://transparencia.prefeitura.rio" TargetMode="External" Id="rId29"/><Relationship Type="http://schemas.openxmlformats.org/officeDocument/2006/relationships/hyperlink" Target="https://prefeitura.rio/" TargetMode="External" Id="rId30"/><Relationship Type="http://schemas.openxmlformats.org/officeDocument/2006/relationships/hyperlink" Target="https://transparencia.prefeitura.rio/perguntas-frequentes/" TargetMode="External" Id="rId31"/><Relationship Type="http://schemas.openxmlformats.org/officeDocument/2006/relationships/hyperlink" Target="https://prefeitura.rio/" TargetMode="External" Id="rId32"/><Relationship Type="http://schemas.openxmlformats.org/officeDocument/2006/relationships/hyperlink" Target="https://transparencia.prefeitura.rio/perguntas-frequentes/" TargetMode="External" Id="rId33"/><Relationship Type="http://schemas.openxmlformats.org/officeDocument/2006/relationships/hyperlink" Target="https://lgpd.prefeitura.rio/faq/" TargetMode="External" Id="rId34"/><Relationship Type="http://schemas.openxmlformats.org/officeDocument/2006/relationships/hyperlink" Target="https://ouvidoria.prefeitura.rio" TargetMode="External" Id="rId35"/><Relationship Type="http://schemas.openxmlformats.org/officeDocument/2006/relationships/hyperlink" Target="https://transparencia.prefeitura.rio/planejamento-e-prestacao-de-contas/receitas-e-despesas/" TargetMode="External" Id="rId36"/><Relationship Type="http://schemas.openxmlformats.org/officeDocument/2006/relationships/hyperlink" Target="https://transparencia.prefeitura.rio/wp-content/uploads/sites/100/2023/07/Demonstrativo-7-Estimativa-e-Compensacao-de-Renuncia-de-Receita-2026.pdf" TargetMode="External" Id="rId37"/><Relationship Type="http://schemas.openxmlformats.org/officeDocument/2006/relationships/hyperlink" Target="https://transparencia.prefeitura.rio/planejamento-e-prestacao-de-contas/receitas-e-despesas/" TargetMode="External" Id="rId38"/><Relationship Type="http://schemas.openxmlformats.org/officeDocument/2006/relationships/hyperlink" Target="https://www.rio.rj.gov.br/web/contasrio" TargetMode="External" Id="rId39"/><Relationship Type="http://schemas.openxmlformats.org/officeDocument/2006/relationships/hyperlink" Target="https://transparencia.prefeitura.rio/planejamento-e-prestacao-de-contas/receitas-e-despesas/" TargetMode="External" Id="rId40"/><Relationship Type="http://schemas.openxmlformats.org/officeDocument/2006/relationships/hyperlink" Target="https://transparencia.prefeitura.rio/planejamento-e-prestacao-de-contas/receitas-e-despesas/" TargetMode="External" Id="rId41"/><Relationship Type="http://schemas.openxmlformats.org/officeDocument/2006/relationships/hyperlink" Target="https://transparencia.prefeitura.rio/contas-publicas/plano-de-execucoes-orcamentaria-e-de-gestao-fiscal" TargetMode="External" Id="rId42"/><Relationship Type="http://schemas.openxmlformats.org/officeDocument/2006/relationships/hyperlink" Target="https://transparencia.prefeitura.rio/acesso-a-informacao/pedido-de-informacao/" TargetMode="External" Id="rId43"/><Relationship Type="http://schemas.openxmlformats.org/officeDocument/2006/relationships/hyperlink" Target="https://transparencia.prefeitura.rio/perguntas-frequentes/pedidos-de-acesso-a-informacao/" TargetMode="External" Id="rId44"/><Relationship Type="http://schemas.openxmlformats.org/officeDocument/2006/relationships/hyperlink" Target="https://transparencia.prefeitura.rio/acesso-a-informacao/pedido-de-informacao/" TargetMode="External" Id="rId45"/><Relationship Type="http://schemas.openxmlformats.org/officeDocument/2006/relationships/hyperlink" Target="https://transparencia.prefeitura.rio/acesso-a-informacao/" TargetMode="External" Id="rId46"/><Relationship Type="http://schemas.openxmlformats.org/officeDocument/2006/relationships/hyperlink" Target="https://prefeitura.rio/" TargetMode="External" Id="rId47"/><Relationship Type="http://schemas.openxmlformats.org/officeDocument/2006/relationships/hyperlink" Target="https://prefeitura.rio/" TargetMode="External" Id="rId48"/><Relationship Type="http://schemas.openxmlformats.org/officeDocument/2006/relationships/hyperlink" Target="https://lgpd.prefeitura.rio/trilha-de-formacao-em-privacidade-e-protecao-de-dados-pessoais/" TargetMode="External" Id="rId49"/><Relationship Type="http://schemas.openxmlformats.org/officeDocument/2006/relationships/hyperlink" Target="https://transparencia.prefeitura.rio/wp-content/uploads/sites/100/2023/07/Base-de-dados-Renuncia-de-Receita-Base-unica-21a25.xlsx" TargetMode="External" Id="rId50"/><Relationship Type="http://schemas.openxmlformats.org/officeDocument/2006/relationships/hyperlink" Target="https://transparencia.prefeitura.rio/contas-publicas/plano-plurianual-ppa" TargetMode="External" Id="rId51"/><Relationship Type="http://schemas.openxmlformats.org/officeDocument/2006/relationships/hyperlink" Target="http://www2.rio.rj.gov.br/smf/banco/pdforc/ldo/ldo2027-lei9535.pdf" TargetMode="External" Id="rId52"/><Relationship Type="http://schemas.openxmlformats.org/officeDocument/2006/relationships/hyperlink" Target="http://www2.rio.rj.gov.br/smf/banco/pdforc/loa/lei9276_2026.pdf" TargetMode="External" Id="rId53"/><Relationship Type="http://schemas.openxmlformats.org/officeDocument/2006/relationships/hyperlink" Target="https://controladoria.prefeitura.rio/quadros-da-lrf/" TargetMode="External" Id="rId5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Validação manual dos resultados do robô</t>
        </is>
      </c>
    </row>
    <row r="2">
      <c r="A2" s="2" t="inlineStr">
        <is>
          <t>Gerada em 17/10/2026 a partir de: banco padrão. Linhas: 54 (critérios aplicáveis e automatizados da última coleta de cada entidade).</t>
        </is>
      </c>
    </row>
    <row r="3">
      <c r="A3" s="2" t="inlineStr"/>
    </row>
    <row r="4">
      <c r="A4" s="3" t="inlineStr">
        <is>
          <t>Como preencher (aba 'Avaliação')</t>
        </is>
      </c>
    </row>
    <row r="5">
      <c r="A5" s="2" t="inlineStr">
        <is>
          <t>1. Colunas cinza = resultado do robô (não editar). Colunas amarelas = suas entradas.</t>
        </is>
      </c>
    </row>
    <row r="6">
      <c r="A6" s="2" t="inlineStr">
        <is>
          <t>2. Abra a URL da evidência (ou navegue pelo portal) e verifique o critério como um avaliador faria.</t>
        </is>
      </c>
    </row>
    <row r="7">
      <c r="A7" s="2" t="inlineStr">
        <is>
          <t>3. 'Status conferido': escolha na lista — atende, parcial, nao_atende, nao_aplicavel ou nao_verificavel (use nao_verificavel quando nem você conseguir concluir, ex.: portal fora do ar).</t>
        </is>
      </c>
    </row>
    <row r="8">
      <c r="A8" s="2" t="inlineStr">
        <is>
          <t>4. Se discordar do robô, escolha a 'Causa da divergência' e descreva em 'Observação'.</t>
        </is>
      </c>
    </row>
    <row r="9">
      <c r="A9" s="2" t="inlineStr">
        <is>
          <t>5. As colunas 'Classe', 'Par conclusivo' e 'Acerto exato' e toda a aba 'Métricas' são calculadas sozinhas.</t>
        </is>
      </c>
    </row>
    <row r="10">
      <c r="A10" s="2" t="inlineStr">
        <is>
          <t>6. Depois de ajustar regras, registre o que mudou na aba 'Ajustes' e reexecute: python -m src.pipeline reevaluate --latest (sem acessar os portais) e gere nova planilha.</t>
        </is>
      </c>
    </row>
    <row r="11">
      <c r="A11" s="2" t="inlineStr"/>
    </row>
    <row r="12">
      <c r="A12" s="3" t="inlineStr">
        <is>
          <t>Classes calculadas</t>
        </is>
      </c>
    </row>
    <row r="13">
      <c r="A13" s="2" t="inlineStr">
        <is>
          <t>Concordância: robô e você deram o mesmo status.</t>
        </is>
      </c>
    </row>
    <row r="14">
      <c r="A14" s="2" t="inlineStr">
        <is>
          <t>Falso não atende: robô disse nao_atende, mas a informação existe (o erro mais grave numa fiscalização).</t>
        </is>
      </c>
    </row>
    <row r="15">
      <c r="A15" s="2" t="inlineStr">
        <is>
          <t>Falso atende: robô disse atende, mas a informação não existe ou é insuficiente.</t>
        </is>
      </c>
    </row>
    <row r="16">
      <c r="A16" s="2" t="inlineStr">
        <is>
          <t>Divergência de grau: um disse parcial e o outro atende/nao_atende.</t>
        </is>
      </c>
    </row>
    <row r="17">
      <c r="A17" s="2" t="inlineStr">
        <is>
          <t>Inconclusivo: robô não decidiu — mede a cobertura, não a precisão.</t>
        </is>
      </c>
    </row>
    <row r="18">
      <c r="A18" s="2" t="inlineStr">
        <is>
          <t>Aplicabilidade / Não verificável: casos fora do cálculo de precisão.</t>
        </is>
      </c>
    </row>
    <row r="19">
      <c r="A19" s="2" t="inlineStr"/>
    </row>
    <row r="20">
      <c r="A20" s="3" t="inlineStr">
        <is>
          <t>Linha de exemplo (formato esperado — não faz parte do cálculo)</t>
        </is>
      </c>
    </row>
    <row r="21">
      <c r="A21" s="4" t="inlineStr">
        <is>
          <t>Entidade</t>
        </is>
      </c>
      <c r="B21" s="4" t="inlineStr">
        <is>
          <t>Avaliação nº</t>
        </is>
      </c>
      <c r="C21" s="4" t="inlineStr">
        <is>
          <t>Data da coleta</t>
        </is>
      </c>
      <c r="D21" s="4" t="inlineStr">
        <is>
          <t>Critério</t>
        </is>
      </c>
      <c r="E21" s="4" t="inlineStr">
        <is>
          <t>Descrição do critério</t>
        </is>
      </c>
      <c r="F21" s="4" t="inlineStr">
        <is>
          <t>Classificação</t>
        </is>
      </c>
      <c r="G21" s="4" t="inlineStr">
        <is>
          <t>Status do robô</t>
        </is>
      </c>
      <c r="H21" s="4" t="inlineStr">
        <is>
          <t>Confiança</t>
        </is>
      </c>
      <c r="I21" s="4" t="inlineStr">
        <is>
          <t>Conclusão do robô</t>
        </is>
      </c>
      <c r="J21" s="4" t="inlineStr">
        <is>
          <t>URL da evidência</t>
        </is>
      </c>
      <c r="K21" s="4" t="inlineStr">
        <is>
          <t>Trecho da evidência</t>
        </is>
      </c>
      <c r="L21" s="4" t="inlineStr">
        <is>
          <t>Status conferido</t>
        </is>
      </c>
      <c r="M21" s="4" t="inlineStr">
        <is>
          <t>URL onde conferiu</t>
        </is>
      </c>
      <c r="N21" s="4" t="inlineStr">
        <is>
          <t>Causa da divergência</t>
        </is>
      </c>
      <c r="O21" s="4" t="inlineStr">
        <is>
          <t>Observação</t>
        </is>
      </c>
    </row>
    <row r="22">
      <c r="A22" s="5" t="inlineStr">
        <is>
          <t>Japeri</t>
        </is>
      </c>
      <c r="B22" s="5" t="n">
        <v>12</v>
      </c>
      <c r="C22" s="5" t="inlineStr">
        <is>
          <t>2026-10-14</t>
        </is>
      </c>
      <c r="D22" s="5" t="inlineStr">
        <is>
          <t>4.1</t>
        </is>
      </c>
      <c r="E22" s="5" t="inlineStr">
        <is>
          <t>Número e o valor de empenho, liquidação e pagamento</t>
        </is>
      </c>
      <c r="F22" s="5" t="inlineStr">
        <is>
          <t>essencial</t>
        </is>
      </c>
      <c r="G22" s="5" t="inlineStr">
        <is>
          <t>nao_atende</t>
        </is>
      </c>
      <c r="H22" s="5" t="n">
        <v>0.6</v>
      </c>
      <c r="I22" s="5" t="inlineStr">
        <is>
          <t>Não encontrado: dados de empenho/liquidação/pagamento...</t>
        </is>
      </c>
      <c r="J22" s="5" t="inlineStr">
        <is>
          <t>https://japeri.geosiap.net.br/portal-transparencia</t>
        </is>
      </c>
      <c r="K22" s="5" t="inlineStr"/>
      <c r="L22" s="6" t="inlineStr">
        <is>
          <t>atende</t>
        </is>
      </c>
      <c r="M22" s="6" t="inlineStr">
        <is>
          <t>https://japeri.geosiap.net.br/portal-transparencia/despesas</t>
        </is>
      </c>
      <c r="N22" s="6" t="inlineStr">
        <is>
          <t>Informação em sistema externo/consulta</t>
        </is>
      </c>
      <c r="O22" s="6" t="inlineStr">
        <is>
          <t>Dados aparecem só após escolher o exercício no filtro.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Métricas de validação (atualizam conforme a aba 'Avaliação' é preenchida)</t>
        </is>
      </c>
    </row>
    <row r="2">
      <c r="A2" s="4" t="inlineStr">
        <is>
          <t>Indicador</t>
        </is>
      </c>
      <c r="B2" s="4" t="inlineStr">
        <is>
          <t>Valor</t>
        </is>
      </c>
      <c r="C2" s="4" t="inlineStr">
        <is>
          <t>Como ler</t>
        </is>
      </c>
      <c r="D2" s="7" t="n"/>
      <c r="E2" s="7" t="n"/>
      <c r="F2" s="7" t="n"/>
      <c r="G2" s="7" t="n"/>
      <c r="H2" s="8" t="n"/>
    </row>
    <row r="3">
      <c r="A3" s="9" t="inlineStr">
        <is>
          <t>Linhas exportadas</t>
        </is>
      </c>
      <c r="B3" s="10">
        <f>COUNTA('Avaliação'!$G$2:$G$55)</f>
        <v/>
      </c>
      <c r="C3" s="11" t="inlineStr">
        <is>
          <t>Critérios aplicáveis e automatizados exportados</t>
        </is>
      </c>
    </row>
    <row r="4">
      <c r="A4" s="9" t="inlineStr">
        <is>
          <t>Linhas conferidas</t>
        </is>
      </c>
      <c r="B4" s="10">
        <f>COUNTIF('Avaliação'!$L$2:$L$55,"&lt;&gt;")</f>
        <v/>
      </c>
      <c r="C4" s="11" t="inlineStr">
        <is>
          <t>Linhas com 'Status conferido' preenchido</t>
        </is>
      </c>
    </row>
    <row r="5">
      <c r="A5" s="9" t="inlineStr">
        <is>
          <t>Progresso da conferência</t>
        </is>
      </c>
      <c r="B5" s="12">
        <f>IFERROR(B4/B3,0)</f>
        <v/>
      </c>
      <c r="C5" s="11" t="inlineStr"/>
    </row>
    <row r="6">
      <c r="A6" s="9" t="inlineStr">
        <is>
          <t>Pares conclusivos</t>
        </is>
      </c>
      <c r="B6" s="10">
        <f>SUM('Avaliação'!$Q$2:$Q$55)</f>
        <v/>
      </c>
      <c r="C6" s="11" t="inlineStr">
        <is>
          <t>Robô e humano com atende/parcial/nao_atende</t>
        </is>
      </c>
    </row>
    <row r="7">
      <c r="A7" s="9" t="inlineStr">
        <is>
          <t>Concordância exata</t>
        </is>
      </c>
      <c r="B7" s="13">
        <f>IFERROR(SUM('Avaliação'!$R$2:$R$55)/B6,"—")</f>
        <v/>
      </c>
      <c r="C7" s="11" t="inlineStr">
        <is>
          <t>Acertos / pares conclusivos</t>
        </is>
      </c>
    </row>
    <row r="8">
      <c r="A8" s="9" t="inlineStr">
        <is>
          <t>Falsos 'não atende'</t>
        </is>
      </c>
      <c r="B8" s="10">
        <f>COUNTIF('Avaliação'!$P$2:$P$55,"Falso não atende")</f>
        <v/>
      </c>
      <c r="C8" s="11" t="inlineStr">
        <is>
          <t>Erro mais grave: acusa ausência de informação existente</t>
        </is>
      </c>
    </row>
    <row r="9">
      <c r="A9" s="9" t="inlineStr">
        <is>
          <t>Precisão do 'não atende'</t>
        </is>
      </c>
      <c r="B9" s="13">
        <f>IFERROR(COUNTIFS('Avaliação'!$G$2:$G$55,"nao_atende",'Avaliação'!$P$2:$P$55,"Concordância")/COUNTIFS('Avaliação'!$G$2:$G$55,"nao_atende",'Avaliação'!$Q$2:$Q$55,1),"—")</f>
        <v/>
      </c>
      <c r="C9" s="11" t="inlineStr">
        <is>
          <t>Dos 'não atende' do robô conferidos, quantos estavam certos</t>
        </is>
      </c>
    </row>
    <row r="10">
      <c r="A10" s="9" t="inlineStr">
        <is>
          <t>Falsos 'atende'</t>
        </is>
      </c>
      <c r="B10" s="10">
        <f>COUNTIF('Avaliação'!$P$2:$P$55,"Falso atende")</f>
        <v/>
      </c>
      <c r="C10" s="11" t="inlineStr">
        <is>
          <t>Robô aceitou indício insuficiente</t>
        </is>
      </c>
    </row>
    <row r="11">
      <c r="A11" s="9" t="inlineStr">
        <is>
          <t>Precisão do 'atende'</t>
        </is>
      </c>
      <c r="B11" s="13">
        <f>IFERROR(COUNTIFS('Avaliação'!$G$2:$G$55,"atende",'Avaliação'!$P$2:$P$55,"Concordância")/COUNTIFS('Avaliação'!$G$2:$G$55,"atende",'Avaliação'!$Q$2:$Q$55,1),"—")</f>
        <v/>
      </c>
      <c r="C11" s="11" t="inlineStr">
        <is>
          <t>Dos 'atende' do robô conferidos, quantos estavam certos</t>
        </is>
      </c>
    </row>
    <row r="12">
      <c r="A12" s="9" t="inlineStr">
        <is>
          <t>Divergências de grau</t>
        </is>
      </c>
      <c r="B12" s="10">
        <f>COUNTIF('Avaliação'!$P$2:$P$55,"Divergência de grau")</f>
        <v/>
      </c>
      <c r="C12" s="11" t="inlineStr">
        <is>
          <t>Parcial × atende/não atende</t>
        </is>
      </c>
    </row>
    <row r="13">
      <c r="A13" s="9" t="inlineStr">
        <is>
          <t>Taxa de inconclusivos (robô)</t>
        </is>
      </c>
      <c r="B13" s="13">
        <f>IFERROR(COUNTIF('Avaliação'!$G$2:$G$55,"inconclusivo")/B3,"—")</f>
        <v/>
      </c>
      <c r="C13" s="11" t="inlineStr">
        <is>
          <t>Mede cobertura: quanto o robô não conseguiu decidir</t>
        </is>
      </c>
    </row>
    <row r="14">
      <c r="A14" s="9" t="inlineStr">
        <is>
          <t>Inconclusivos que você resolveu</t>
        </is>
      </c>
      <c r="B14" s="10">
        <f>COUNTIFS('Avaliação'!$G$2:$G$55,"inconclusivo",'Avaliação'!$L$2:$L$55,"&lt;&gt;")-COUNTIFS('Avaliação'!$G$2:$G$55,"inconclusivo",'Avaliação'!$L$2:$L$55,"nao_verificavel")</f>
        <v/>
      </c>
      <c r="C14" s="11" t="inlineStr">
        <is>
          <t>Potencial de ganho com renderização JS/novas regras</t>
        </is>
      </c>
    </row>
    <row r="15">
      <c r="A15" s="9" t="inlineStr">
        <is>
          <t>Kappa de Cohen</t>
        </is>
      </c>
      <c r="B15" s="14">
        <f>IFERROR((B6*(B34+C35+D36)-(E34*B38+E35*C38+E36*D38))/(B6^2-(E34*B38+E35*C38+E36*D38)),"—")</f>
        <v/>
      </c>
      <c r="C15" s="11" t="inlineStr">
        <is>
          <t>Concordância além do acaso nos pares conclusivos (&gt;0,6 bom; &gt;0,8 muito bom)</t>
        </is>
      </c>
    </row>
    <row r="32">
      <c r="A32" s="15" t="inlineStr">
        <is>
          <t>Matriz de confusão — linhas: robô; colunas: conferência humana</t>
        </is>
      </c>
    </row>
    <row r="33">
      <c r="A33" s="4" t="inlineStr">
        <is>
          <t>Robô \ Humano</t>
        </is>
      </c>
      <c r="B33" s="4" t="inlineStr">
        <is>
          <t>atende</t>
        </is>
      </c>
      <c r="C33" s="4" t="inlineStr">
        <is>
          <t>parcial</t>
        </is>
      </c>
      <c r="D33" s="4" t="inlineStr">
        <is>
          <t>nao_atende</t>
        </is>
      </c>
      <c r="E33" s="4" t="inlineStr">
        <is>
          <t>Total (pares)</t>
        </is>
      </c>
      <c r="F33" s="4" t="inlineStr">
        <is>
          <t>nao_aplicavel</t>
        </is>
      </c>
      <c r="G33" s="4" t="inlineStr">
        <is>
          <t>nao_verificavel</t>
        </is>
      </c>
      <c r="H33" s="4" t="inlineStr">
        <is>
          <t>não conferido</t>
        </is>
      </c>
    </row>
    <row r="34">
      <c r="A34" s="16" t="inlineStr">
        <is>
          <t>atende</t>
        </is>
      </c>
      <c r="B34" s="17">
        <f>COUNTIFS('Avaliação'!$G$2:$G$55,"atende",'Avaliação'!$L$2:$L$55,"atende")</f>
        <v/>
      </c>
      <c r="C34" s="17">
        <f>COUNTIFS('Avaliação'!$G$2:$G$55,"atende",'Avaliação'!$L$2:$L$55,"parcial")</f>
        <v/>
      </c>
      <c r="D34" s="17">
        <f>COUNTIFS('Avaliação'!$G$2:$G$55,"atende",'Avaliação'!$L$2:$L$55,"nao_atende")</f>
        <v/>
      </c>
      <c r="E34" s="17">
        <f>SUM(B34:D34)</f>
        <v/>
      </c>
      <c r="F34" s="17">
        <f>COUNTIFS('Avaliação'!$G$2:$G$55,"atende",'Avaliação'!$L$2:$L$55,"nao_aplicavel")</f>
        <v/>
      </c>
      <c r="G34" s="17">
        <f>COUNTIFS('Avaliação'!$G$2:$G$55,"atende",'Avaliação'!$L$2:$L$55,"nao_verificavel")</f>
        <v/>
      </c>
      <c r="H34" s="17">
        <f>COUNTIF('Avaliação'!$G$2:$G$55,"atende")-COUNTIFS('Avaliação'!$G$2:$G$55,"atende",'Avaliação'!$L$2:$L$55,"&lt;&gt;")</f>
        <v/>
      </c>
    </row>
    <row r="35">
      <c r="A35" s="16" t="inlineStr">
        <is>
          <t>parcial</t>
        </is>
      </c>
      <c r="B35" s="17">
        <f>COUNTIFS('Avaliação'!$G$2:$G$55,"parcial",'Avaliação'!$L$2:$L$55,"atende")</f>
        <v/>
      </c>
      <c r="C35" s="17">
        <f>COUNTIFS('Avaliação'!$G$2:$G$55,"parcial",'Avaliação'!$L$2:$L$55,"parcial")</f>
        <v/>
      </c>
      <c r="D35" s="17">
        <f>COUNTIFS('Avaliação'!$G$2:$G$55,"parcial",'Avaliação'!$L$2:$L$55,"nao_atende")</f>
        <v/>
      </c>
      <c r="E35" s="17">
        <f>SUM(B35:D35)</f>
        <v/>
      </c>
      <c r="F35" s="17">
        <f>COUNTIFS('Avaliação'!$G$2:$G$55,"parcial",'Avaliação'!$L$2:$L$55,"nao_aplicavel")</f>
        <v/>
      </c>
      <c r="G35" s="17">
        <f>COUNTIFS('Avaliação'!$G$2:$G$55,"parcial",'Avaliação'!$L$2:$L$55,"nao_verificavel")</f>
        <v/>
      </c>
      <c r="H35" s="17">
        <f>COUNTIF('Avaliação'!$G$2:$G$55,"parcial")-COUNTIFS('Avaliação'!$G$2:$G$55,"parcial",'Avaliação'!$L$2:$L$55,"&lt;&gt;")</f>
        <v/>
      </c>
    </row>
    <row r="36">
      <c r="A36" s="16" t="inlineStr">
        <is>
          <t>nao_atende</t>
        </is>
      </c>
      <c r="B36" s="17">
        <f>COUNTIFS('Avaliação'!$G$2:$G$55,"nao_atende",'Avaliação'!$L$2:$L$55,"atende")</f>
        <v/>
      </c>
      <c r="C36" s="17">
        <f>COUNTIFS('Avaliação'!$G$2:$G$55,"nao_atende",'Avaliação'!$L$2:$L$55,"parcial")</f>
        <v/>
      </c>
      <c r="D36" s="17">
        <f>COUNTIFS('Avaliação'!$G$2:$G$55,"nao_atende",'Avaliação'!$L$2:$L$55,"nao_atende")</f>
        <v/>
      </c>
      <c r="E36" s="17">
        <f>SUM(B36:D36)</f>
        <v/>
      </c>
      <c r="F36" s="17">
        <f>COUNTIFS('Avaliação'!$G$2:$G$55,"nao_atende",'Avaliação'!$L$2:$L$55,"nao_aplicavel")</f>
        <v/>
      </c>
      <c r="G36" s="17">
        <f>COUNTIFS('Avaliação'!$G$2:$G$55,"nao_atende",'Avaliação'!$L$2:$L$55,"nao_verificavel")</f>
        <v/>
      </c>
      <c r="H36" s="17">
        <f>COUNTIF('Avaliação'!$G$2:$G$55,"nao_atende")-COUNTIFS('Avaliação'!$G$2:$G$55,"nao_atende",'Avaliação'!$L$2:$L$55,"&lt;&gt;")</f>
        <v/>
      </c>
    </row>
    <row r="37">
      <c r="A37" s="16" t="inlineStr">
        <is>
          <t>inconclusivo</t>
        </is>
      </c>
      <c r="B37" s="17">
        <f>COUNTIFS('Avaliação'!$G$2:$G$55,"inconclusivo",'Avaliação'!$L$2:$L$55,"atende")</f>
        <v/>
      </c>
      <c r="C37" s="17">
        <f>COUNTIFS('Avaliação'!$G$2:$G$55,"inconclusivo",'Avaliação'!$L$2:$L$55,"parcial")</f>
        <v/>
      </c>
      <c r="D37" s="17">
        <f>COUNTIFS('Avaliação'!$G$2:$G$55,"inconclusivo",'Avaliação'!$L$2:$L$55,"nao_atende")</f>
        <v/>
      </c>
      <c r="E37" s="17" t="inlineStr"/>
      <c r="F37" s="17">
        <f>COUNTIFS('Avaliação'!$G$2:$G$55,"inconclusivo",'Avaliação'!$L$2:$L$55,"nao_aplicavel")</f>
        <v/>
      </c>
      <c r="G37" s="17">
        <f>COUNTIFS('Avaliação'!$G$2:$G$55,"inconclusivo",'Avaliação'!$L$2:$L$55,"nao_verificavel")</f>
        <v/>
      </c>
      <c r="H37" s="17">
        <f>COUNTIF('Avaliação'!$G$2:$G$55,"inconclusivo")-COUNTIFS('Avaliação'!$G$2:$G$55,"inconclusivo",'Avaliação'!$L$2:$L$55,"&lt;&gt;")</f>
        <v/>
      </c>
    </row>
    <row r="38">
      <c r="A38" s="16" t="inlineStr">
        <is>
          <t>Total (pares)</t>
        </is>
      </c>
      <c r="B38" s="17">
        <f>SUM(B34:B36)</f>
        <v/>
      </c>
      <c r="C38" s="17">
        <f>SUM(C34:C36)</f>
        <v/>
      </c>
      <c r="D38" s="17">
        <f>SUM(D34:D36)</f>
        <v/>
      </c>
      <c r="E38" s="17" t="n"/>
      <c r="F38" s="17" t="n"/>
      <c r="G38" s="17" t="n"/>
      <c r="H38" s="17" t="n"/>
    </row>
    <row r="41">
      <c r="A41" s="15" t="inlineStr">
        <is>
          <t>Por critério (onde ajustar regras)</t>
        </is>
      </c>
    </row>
    <row r="42">
      <c r="A42" s="4" t="inlineStr">
        <is>
          <t>Item</t>
        </is>
      </c>
      <c r="B42" s="4" t="inlineStr">
        <is>
          <t>Linhas</t>
        </is>
      </c>
      <c r="C42" s="4" t="inlineStr">
        <is>
          <t>Conferidas</t>
        </is>
      </c>
      <c r="D42" s="4" t="inlineStr">
        <is>
          <t>Pares conclusivos</t>
        </is>
      </c>
      <c r="E42" s="4" t="inlineStr">
        <is>
          <t>Concordância</t>
        </is>
      </c>
      <c r="F42" s="4" t="inlineStr">
        <is>
          <t>Falso não atende</t>
        </is>
      </c>
      <c r="G42" s="4" t="inlineStr">
        <is>
          <t>Falso atende</t>
        </is>
      </c>
      <c r="H42" s="4" t="inlineStr">
        <is>
          <t>Inconclusivos (robô)</t>
        </is>
      </c>
    </row>
    <row r="43">
      <c r="A43" s="17" t="inlineStr">
        <is>
          <t>1.1</t>
        </is>
      </c>
      <c r="B43" s="18">
        <f>COUNTIF('Avaliação'!$D$2:$D$55,"1.1")</f>
        <v/>
      </c>
      <c r="C43" s="18">
        <f>COUNTIFS('Avaliação'!$D$2:$D$55,"1.1",'Avaliação'!$L$2:$L$55,"&lt;&gt;")</f>
        <v/>
      </c>
      <c r="D43" s="18">
        <f>COUNTIFS('Avaliação'!$D$2:$D$55,"1.1",'Avaliação'!$Q$2:$Q$55,1)</f>
        <v/>
      </c>
      <c r="E43" s="19">
        <f>IFERROR(COUNTIFS('Avaliação'!$D$2:$D$55,"1.1",'Avaliação'!$R$2:$R$55,1)/D43,"—")</f>
        <v/>
      </c>
      <c r="F43" s="18">
        <f>COUNTIFS('Avaliação'!$D$2:$D$55,"1.1",'Avaliação'!$P$2:$P$55,"Falso não atende")</f>
        <v/>
      </c>
      <c r="G43" s="18">
        <f>COUNTIFS('Avaliação'!$D$2:$D$55,"1.1",'Avaliação'!$P$2:$P$55,"Falso atende")</f>
        <v/>
      </c>
      <c r="H43" s="18">
        <f>COUNTIFS('Avaliação'!$D$2:$D$55,"1.1",'Avaliação'!$G$2:$G$55,"inconclusivo")</f>
        <v/>
      </c>
    </row>
    <row r="44">
      <c r="A44" s="17" t="inlineStr">
        <is>
          <t>1.2</t>
        </is>
      </c>
      <c r="B44" s="18">
        <f>COUNTIF('Avaliação'!$D$2:$D$55,"1.2")</f>
        <v/>
      </c>
      <c r="C44" s="18">
        <f>COUNTIFS('Avaliação'!$D$2:$D$55,"1.2",'Avaliação'!$L$2:$L$55,"&lt;&gt;")</f>
        <v/>
      </c>
      <c r="D44" s="18">
        <f>COUNTIFS('Avaliação'!$D$2:$D$55,"1.2",'Avaliação'!$Q$2:$Q$55,1)</f>
        <v/>
      </c>
      <c r="E44" s="19">
        <f>IFERROR(COUNTIFS('Avaliação'!$D$2:$D$55,"1.2",'Avaliação'!$R$2:$R$55,1)/D44,"—")</f>
        <v/>
      </c>
      <c r="F44" s="18">
        <f>COUNTIFS('Avaliação'!$D$2:$D$55,"1.2",'Avaliação'!$P$2:$P$55,"Falso não atende")</f>
        <v/>
      </c>
      <c r="G44" s="18">
        <f>COUNTIFS('Avaliação'!$D$2:$D$55,"1.2",'Avaliação'!$P$2:$P$55,"Falso atende")</f>
        <v/>
      </c>
      <c r="H44" s="18">
        <f>COUNTIFS('Avaliação'!$D$2:$D$55,"1.2",'Avaliação'!$G$2:$G$55,"inconclusivo")</f>
        <v/>
      </c>
    </row>
    <row r="45">
      <c r="A45" s="17" t="inlineStr">
        <is>
          <t>1.3</t>
        </is>
      </c>
      <c r="B45" s="18">
        <f>COUNTIF('Avaliação'!$D$2:$D$55,"1.3")</f>
        <v/>
      </c>
      <c r="C45" s="18">
        <f>COUNTIFS('Avaliação'!$D$2:$D$55,"1.3",'Avaliação'!$L$2:$L$55,"&lt;&gt;")</f>
        <v/>
      </c>
      <c r="D45" s="18">
        <f>COUNTIFS('Avaliação'!$D$2:$D$55,"1.3",'Avaliação'!$Q$2:$Q$55,1)</f>
        <v/>
      </c>
      <c r="E45" s="19">
        <f>IFERROR(COUNTIFS('Avaliação'!$D$2:$D$55,"1.3",'Avaliação'!$R$2:$R$55,1)/D45,"—")</f>
        <v/>
      </c>
      <c r="F45" s="18">
        <f>COUNTIFS('Avaliação'!$D$2:$D$55,"1.3",'Avaliação'!$P$2:$P$55,"Falso não atende")</f>
        <v/>
      </c>
      <c r="G45" s="18">
        <f>COUNTIFS('Avaliação'!$D$2:$D$55,"1.3",'Avaliação'!$P$2:$P$55,"Falso atende")</f>
        <v/>
      </c>
      <c r="H45" s="18">
        <f>COUNTIFS('Avaliação'!$D$2:$D$55,"1.3",'Avaliação'!$G$2:$G$55,"inconclusivo")</f>
        <v/>
      </c>
    </row>
    <row r="46">
      <c r="A46" s="17" t="inlineStr">
        <is>
          <t>2.1</t>
        </is>
      </c>
      <c r="B46" s="18">
        <f>COUNTIF('Avaliação'!$D$2:$D$55,"2.1")</f>
        <v/>
      </c>
      <c r="C46" s="18">
        <f>COUNTIFS('Avaliação'!$D$2:$D$55,"2.1",'Avaliação'!$L$2:$L$55,"&lt;&gt;")</f>
        <v/>
      </c>
      <c r="D46" s="18">
        <f>COUNTIFS('Avaliação'!$D$2:$D$55,"2.1",'Avaliação'!$Q$2:$Q$55,1)</f>
        <v/>
      </c>
      <c r="E46" s="19">
        <f>IFERROR(COUNTIFS('Avaliação'!$D$2:$D$55,"2.1",'Avaliação'!$R$2:$R$55,1)/D46,"—")</f>
        <v/>
      </c>
      <c r="F46" s="18">
        <f>COUNTIFS('Avaliação'!$D$2:$D$55,"2.1",'Avaliação'!$P$2:$P$55,"Falso não atende")</f>
        <v/>
      </c>
      <c r="G46" s="18">
        <f>COUNTIFS('Avaliação'!$D$2:$D$55,"2.1",'Avaliação'!$P$2:$P$55,"Falso atende")</f>
        <v/>
      </c>
      <c r="H46" s="18">
        <f>COUNTIFS('Avaliação'!$D$2:$D$55,"2.1",'Avaliação'!$G$2:$G$55,"inconclusivo")</f>
        <v/>
      </c>
    </row>
    <row r="47">
      <c r="A47" s="17" t="inlineStr">
        <is>
          <t>2.4</t>
        </is>
      </c>
      <c r="B47" s="18">
        <f>COUNTIF('Avaliação'!$D$2:$D$55,"2.4")</f>
        <v/>
      </c>
      <c r="C47" s="18">
        <f>COUNTIFS('Avaliação'!$D$2:$D$55,"2.4",'Avaliação'!$L$2:$L$55,"&lt;&gt;")</f>
        <v/>
      </c>
      <c r="D47" s="18">
        <f>COUNTIFS('Avaliação'!$D$2:$D$55,"2.4",'Avaliação'!$Q$2:$Q$55,1)</f>
        <v/>
      </c>
      <c r="E47" s="19">
        <f>IFERROR(COUNTIFS('Avaliação'!$D$2:$D$55,"2.4",'Avaliação'!$R$2:$R$55,1)/D47,"—")</f>
        <v/>
      </c>
      <c r="F47" s="18">
        <f>COUNTIFS('Avaliação'!$D$2:$D$55,"2.4",'Avaliação'!$P$2:$P$55,"Falso não atende")</f>
        <v/>
      </c>
      <c r="G47" s="18">
        <f>COUNTIFS('Avaliação'!$D$2:$D$55,"2.4",'Avaliação'!$P$2:$P$55,"Falso atende")</f>
        <v/>
      </c>
      <c r="H47" s="18">
        <f>COUNTIFS('Avaliação'!$D$2:$D$55,"2.4",'Avaliação'!$G$2:$G$55,"inconclusivo")</f>
        <v/>
      </c>
    </row>
    <row r="48">
      <c r="A48" s="17" t="inlineStr">
        <is>
          <t>2.5</t>
        </is>
      </c>
      <c r="B48" s="18">
        <f>COUNTIF('Avaliação'!$D$2:$D$55,"2.5")</f>
        <v/>
      </c>
      <c r="C48" s="18">
        <f>COUNTIFS('Avaliação'!$D$2:$D$55,"2.5",'Avaliação'!$L$2:$L$55,"&lt;&gt;")</f>
        <v/>
      </c>
      <c r="D48" s="18">
        <f>COUNTIFS('Avaliação'!$D$2:$D$55,"2.5",'Avaliação'!$Q$2:$Q$55,1)</f>
        <v/>
      </c>
      <c r="E48" s="19">
        <f>IFERROR(COUNTIFS('Avaliação'!$D$2:$D$55,"2.5",'Avaliação'!$R$2:$R$55,1)/D48,"—")</f>
        <v/>
      </c>
      <c r="F48" s="18">
        <f>COUNTIFS('Avaliação'!$D$2:$D$55,"2.5",'Avaliação'!$P$2:$P$55,"Falso não atende")</f>
        <v/>
      </c>
      <c r="G48" s="18">
        <f>COUNTIFS('Avaliação'!$D$2:$D$55,"2.5",'Avaliação'!$P$2:$P$55,"Falso atende")</f>
        <v/>
      </c>
      <c r="H48" s="18">
        <f>COUNTIFS('Avaliação'!$D$2:$D$55,"2.5",'Avaliação'!$G$2:$G$55,"inconclusivo")</f>
        <v/>
      </c>
    </row>
    <row r="49">
      <c r="A49" s="17" t="inlineStr">
        <is>
          <t>2.6</t>
        </is>
      </c>
      <c r="B49" s="18">
        <f>COUNTIF('Avaliação'!$D$2:$D$55,"2.6")</f>
        <v/>
      </c>
      <c r="C49" s="18">
        <f>COUNTIFS('Avaliação'!$D$2:$D$55,"2.6",'Avaliação'!$L$2:$L$55,"&lt;&gt;")</f>
        <v/>
      </c>
      <c r="D49" s="18">
        <f>COUNTIFS('Avaliação'!$D$2:$D$55,"2.6",'Avaliação'!$Q$2:$Q$55,1)</f>
        <v/>
      </c>
      <c r="E49" s="19">
        <f>IFERROR(COUNTIFS('Avaliação'!$D$2:$D$55,"2.6",'Avaliação'!$R$2:$R$55,1)/D49,"—")</f>
        <v/>
      </c>
      <c r="F49" s="18">
        <f>COUNTIFS('Avaliação'!$D$2:$D$55,"2.6",'Avaliação'!$P$2:$P$55,"Falso não atende")</f>
        <v/>
      </c>
      <c r="G49" s="18">
        <f>COUNTIFS('Avaliação'!$D$2:$D$55,"2.6",'Avaliação'!$P$2:$P$55,"Falso atende")</f>
        <v/>
      </c>
      <c r="H49" s="18">
        <f>COUNTIFS('Avaliação'!$D$2:$D$55,"2.6",'Avaliação'!$G$2:$G$55,"inconclusivo")</f>
        <v/>
      </c>
    </row>
    <row r="50">
      <c r="A50" s="17" t="inlineStr">
        <is>
          <t>2.9</t>
        </is>
      </c>
      <c r="B50" s="18">
        <f>COUNTIF('Avaliação'!$D$2:$D$55,"2.9")</f>
        <v/>
      </c>
      <c r="C50" s="18">
        <f>COUNTIFS('Avaliação'!$D$2:$D$55,"2.9",'Avaliação'!$L$2:$L$55,"&lt;&gt;")</f>
        <v/>
      </c>
      <c r="D50" s="18">
        <f>COUNTIFS('Avaliação'!$D$2:$D$55,"2.9",'Avaliação'!$Q$2:$Q$55,1)</f>
        <v/>
      </c>
      <c r="E50" s="19">
        <f>IFERROR(COUNTIFS('Avaliação'!$D$2:$D$55,"2.9",'Avaliação'!$R$2:$R$55,1)/D50,"—")</f>
        <v/>
      </c>
      <c r="F50" s="18">
        <f>COUNTIFS('Avaliação'!$D$2:$D$55,"2.9",'Avaliação'!$P$2:$P$55,"Falso não atende")</f>
        <v/>
      </c>
      <c r="G50" s="18">
        <f>COUNTIFS('Avaliação'!$D$2:$D$55,"2.9",'Avaliação'!$P$2:$P$55,"Falso atende")</f>
        <v/>
      </c>
      <c r="H50" s="18">
        <f>COUNTIFS('Avaliação'!$D$2:$D$55,"2.9",'Avaliação'!$G$2:$G$55,"inconclusivo")</f>
        <v/>
      </c>
    </row>
    <row r="51">
      <c r="A51" s="17" t="inlineStr">
        <is>
          <t>3.1</t>
        </is>
      </c>
      <c r="B51" s="18">
        <f>COUNTIF('Avaliação'!$D$2:$D$55,"3.1")</f>
        <v/>
      </c>
      <c r="C51" s="18">
        <f>COUNTIFS('Avaliação'!$D$2:$D$55,"3.1",'Avaliação'!$L$2:$L$55,"&lt;&gt;")</f>
        <v/>
      </c>
      <c r="D51" s="18">
        <f>COUNTIFS('Avaliação'!$D$2:$D$55,"3.1",'Avaliação'!$Q$2:$Q$55,1)</f>
        <v/>
      </c>
      <c r="E51" s="19">
        <f>IFERROR(COUNTIFS('Avaliação'!$D$2:$D$55,"3.1",'Avaliação'!$R$2:$R$55,1)/D51,"—")</f>
        <v/>
      </c>
      <c r="F51" s="18">
        <f>COUNTIFS('Avaliação'!$D$2:$D$55,"3.1",'Avaliação'!$P$2:$P$55,"Falso não atende")</f>
        <v/>
      </c>
      <c r="G51" s="18">
        <f>COUNTIFS('Avaliação'!$D$2:$D$55,"3.1",'Avaliação'!$P$2:$P$55,"Falso atende")</f>
        <v/>
      </c>
      <c r="H51" s="18">
        <f>COUNTIFS('Avaliação'!$D$2:$D$55,"3.1",'Avaliação'!$G$2:$G$55,"inconclusivo")</f>
        <v/>
      </c>
    </row>
    <row r="52">
      <c r="A52" s="17" t="inlineStr">
        <is>
          <t>3.5</t>
        </is>
      </c>
      <c r="B52" s="18">
        <f>COUNTIF('Avaliação'!$D$2:$D$55,"3.5")</f>
        <v/>
      </c>
      <c r="C52" s="18">
        <f>COUNTIFS('Avaliação'!$D$2:$D$55,"3.5",'Avaliação'!$L$2:$L$55,"&lt;&gt;")</f>
        <v/>
      </c>
      <c r="D52" s="18">
        <f>COUNTIFS('Avaliação'!$D$2:$D$55,"3.5",'Avaliação'!$Q$2:$Q$55,1)</f>
        <v/>
      </c>
      <c r="E52" s="19">
        <f>IFERROR(COUNTIFS('Avaliação'!$D$2:$D$55,"3.5",'Avaliação'!$R$2:$R$55,1)/D52,"—")</f>
        <v/>
      </c>
      <c r="F52" s="18">
        <f>COUNTIFS('Avaliação'!$D$2:$D$55,"3.5",'Avaliação'!$P$2:$P$55,"Falso não atende")</f>
        <v/>
      </c>
      <c r="G52" s="18">
        <f>COUNTIFS('Avaliação'!$D$2:$D$55,"3.5",'Avaliação'!$P$2:$P$55,"Falso atende")</f>
        <v/>
      </c>
      <c r="H52" s="18">
        <f>COUNTIFS('Avaliação'!$D$2:$D$55,"3.5",'Avaliação'!$G$2:$G$55,"inconclusivo")</f>
        <v/>
      </c>
    </row>
    <row r="53">
      <c r="A53" s="17" t="inlineStr">
        <is>
          <t>4.1</t>
        </is>
      </c>
      <c r="B53" s="18">
        <f>COUNTIF('Avaliação'!$D$2:$D$55,"4.1")</f>
        <v/>
      </c>
      <c r="C53" s="18">
        <f>COUNTIFS('Avaliação'!$D$2:$D$55,"4.1",'Avaliação'!$L$2:$L$55,"&lt;&gt;")</f>
        <v/>
      </c>
      <c r="D53" s="18">
        <f>COUNTIFS('Avaliação'!$D$2:$D$55,"4.1",'Avaliação'!$Q$2:$Q$55,1)</f>
        <v/>
      </c>
      <c r="E53" s="19">
        <f>IFERROR(COUNTIFS('Avaliação'!$D$2:$D$55,"4.1",'Avaliação'!$R$2:$R$55,1)/D53,"—")</f>
        <v/>
      </c>
      <c r="F53" s="18">
        <f>COUNTIFS('Avaliação'!$D$2:$D$55,"4.1",'Avaliação'!$P$2:$P$55,"Falso não atende")</f>
        <v/>
      </c>
      <c r="G53" s="18">
        <f>COUNTIFS('Avaliação'!$D$2:$D$55,"4.1",'Avaliação'!$P$2:$P$55,"Falso atende")</f>
        <v/>
      </c>
      <c r="H53" s="18">
        <f>COUNTIFS('Avaliação'!$D$2:$D$55,"4.1",'Avaliação'!$G$2:$G$55,"inconclusivo")</f>
        <v/>
      </c>
    </row>
    <row r="54">
      <c r="A54" s="17" t="inlineStr">
        <is>
          <t>4.5</t>
        </is>
      </c>
      <c r="B54" s="18">
        <f>COUNTIF('Avaliação'!$D$2:$D$55,"4.5")</f>
        <v/>
      </c>
      <c r="C54" s="18">
        <f>COUNTIFS('Avaliação'!$D$2:$D$55,"4.5",'Avaliação'!$L$2:$L$55,"&lt;&gt;")</f>
        <v/>
      </c>
      <c r="D54" s="18">
        <f>COUNTIFS('Avaliação'!$D$2:$D$55,"4.5",'Avaliação'!$Q$2:$Q$55,1)</f>
        <v/>
      </c>
      <c r="E54" s="19">
        <f>IFERROR(COUNTIFS('Avaliação'!$D$2:$D$55,"4.5",'Avaliação'!$R$2:$R$55,1)/D54,"—")</f>
        <v/>
      </c>
      <c r="F54" s="18">
        <f>COUNTIFS('Avaliação'!$D$2:$D$55,"4.5",'Avaliação'!$P$2:$P$55,"Falso não atende")</f>
        <v/>
      </c>
      <c r="G54" s="18">
        <f>COUNTIFS('Avaliação'!$D$2:$D$55,"4.5",'Avaliação'!$P$2:$P$55,"Falso atende")</f>
        <v/>
      </c>
      <c r="H54" s="18">
        <f>COUNTIFS('Avaliação'!$D$2:$D$55,"4.5",'Avaliação'!$G$2:$G$55,"inconclusivo")</f>
        <v/>
      </c>
    </row>
    <row r="55">
      <c r="A55" s="17" t="inlineStr">
        <is>
          <t>4.6</t>
        </is>
      </c>
      <c r="B55" s="18">
        <f>COUNTIF('Avaliação'!$D$2:$D$55,"4.6")</f>
        <v/>
      </c>
      <c r="C55" s="18">
        <f>COUNTIFS('Avaliação'!$D$2:$D$55,"4.6",'Avaliação'!$L$2:$L$55,"&lt;&gt;")</f>
        <v/>
      </c>
      <c r="D55" s="18">
        <f>COUNTIFS('Avaliação'!$D$2:$D$55,"4.6",'Avaliação'!$Q$2:$Q$55,1)</f>
        <v/>
      </c>
      <c r="E55" s="19">
        <f>IFERROR(COUNTIFS('Avaliação'!$D$2:$D$55,"4.6",'Avaliação'!$R$2:$R$55,1)/D55,"—")</f>
        <v/>
      </c>
      <c r="F55" s="18">
        <f>COUNTIFS('Avaliação'!$D$2:$D$55,"4.6",'Avaliação'!$P$2:$P$55,"Falso não atende")</f>
        <v/>
      </c>
      <c r="G55" s="18">
        <f>COUNTIFS('Avaliação'!$D$2:$D$55,"4.6",'Avaliação'!$P$2:$P$55,"Falso atende")</f>
        <v/>
      </c>
      <c r="H55" s="18">
        <f>COUNTIFS('Avaliação'!$D$2:$D$55,"4.6",'Avaliação'!$G$2:$G$55,"inconclusivo")</f>
        <v/>
      </c>
    </row>
    <row r="56">
      <c r="A56" s="17" t="inlineStr">
        <is>
          <t>4.7</t>
        </is>
      </c>
      <c r="B56" s="18">
        <f>COUNTIF('Avaliação'!$D$2:$D$55,"4.7")</f>
        <v/>
      </c>
      <c r="C56" s="18">
        <f>COUNTIFS('Avaliação'!$D$2:$D$55,"4.7",'Avaliação'!$L$2:$L$55,"&lt;&gt;")</f>
        <v/>
      </c>
      <c r="D56" s="18">
        <f>COUNTIFS('Avaliação'!$D$2:$D$55,"4.7",'Avaliação'!$Q$2:$Q$55,1)</f>
        <v/>
      </c>
      <c r="E56" s="19">
        <f>IFERROR(COUNTIFS('Avaliação'!$D$2:$D$55,"4.7",'Avaliação'!$R$2:$R$55,1)/D56,"—")</f>
        <v/>
      </c>
      <c r="F56" s="18">
        <f>COUNTIFS('Avaliação'!$D$2:$D$55,"4.7",'Avaliação'!$P$2:$P$55,"Falso não atende")</f>
        <v/>
      </c>
      <c r="G56" s="18">
        <f>COUNTIFS('Avaliação'!$D$2:$D$55,"4.7",'Avaliação'!$P$2:$P$55,"Falso atende")</f>
        <v/>
      </c>
      <c r="H56" s="18">
        <f>COUNTIFS('Avaliação'!$D$2:$D$55,"4.7",'Avaliação'!$G$2:$G$55,"inconclusivo")</f>
        <v/>
      </c>
    </row>
    <row r="57">
      <c r="A57" s="17" t="inlineStr">
        <is>
          <t>12.1</t>
        </is>
      </c>
      <c r="B57" s="18">
        <f>COUNTIF('Avaliação'!$D$2:$D$55,"12.1")</f>
        <v/>
      </c>
      <c r="C57" s="18">
        <f>COUNTIFS('Avaliação'!$D$2:$D$55,"12.1",'Avaliação'!$L$2:$L$55,"&lt;&gt;")</f>
        <v/>
      </c>
      <c r="D57" s="18">
        <f>COUNTIFS('Avaliação'!$D$2:$D$55,"12.1",'Avaliação'!$Q$2:$Q$55,1)</f>
        <v/>
      </c>
      <c r="E57" s="19">
        <f>IFERROR(COUNTIFS('Avaliação'!$D$2:$D$55,"12.1",'Avaliação'!$R$2:$R$55,1)/D57,"—")</f>
        <v/>
      </c>
      <c r="F57" s="18">
        <f>COUNTIFS('Avaliação'!$D$2:$D$55,"12.1",'Avaliação'!$P$2:$P$55,"Falso não atende")</f>
        <v/>
      </c>
      <c r="G57" s="18">
        <f>COUNTIFS('Avaliação'!$D$2:$D$55,"12.1",'Avaliação'!$P$2:$P$55,"Falso atende")</f>
        <v/>
      </c>
      <c r="H57" s="18">
        <f>COUNTIFS('Avaliação'!$D$2:$D$55,"12.1",'Avaliação'!$G$2:$G$55,"inconclusivo")</f>
        <v/>
      </c>
    </row>
    <row r="58">
      <c r="A58" s="17" t="inlineStr">
        <is>
          <t>15.1</t>
        </is>
      </c>
      <c r="B58" s="18">
        <f>COUNTIF('Avaliação'!$D$2:$D$55,"15.1")</f>
        <v/>
      </c>
      <c r="C58" s="18">
        <f>COUNTIFS('Avaliação'!$D$2:$D$55,"15.1",'Avaliação'!$L$2:$L$55,"&lt;&gt;")</f>
        <v/>
      </c>
      <c r="D58" s="18">
        <f>COUNTIFS('Avaliação'!$D$2:$D$55,"15.1",'Avaliação'!$Q$2:$Q$55,1)</f>
        <v/>
      </c>
      <c r="E58" s="19">
        <f>IFERROR(COUNTIFS('Avaliação'!$D$2:$D$55,"15.1",'Avaliação'!$R$2:$R$55,1)/D58,"—")</f>
        <v/>
      </c>
      <c r="F58" s="18">
        <f>COUNTIFS('Avaliação'!$D$2:$D$55,"15.1",'Avaliação'!$P$2:$P$55,"Falso não atende")</f>
        <v/>
      </c>
      <c r="G58" s="18">
        <f>COUNTIFS('Avaliação'!$D$2:$D$55,"15.1",'Avaliação'!$P$2:$P$55,"Falso atende")</f>
        <v/>
      </c>
      <c r="H58" s="18">
        <f>COUNTIFS('Avaliação'!$D$2:$D$55,"15.1",'Avaliação'!$G$2:$G$55,"inconclusivo")</f>
        <v/>
      </c>
    </row>
    <row r="59">
      <c r="A59" s="17" t="inlineStr">
        <is>
          <t>15.2</t>
        </is>
      </c>
      <c r="B59" s="18">
        <f>COUNTIF('Avaliação'!$D$2:$D$55,"15.2")</f>
        <v/>
      </c>
      <c r="C59" s="18">
        <f>COUNTIFS('Avaliação'!$D$2:$D$55,"15.2",'Avaliação'!$L$2:$L$55,"&lt;&gt;")</f>
        <v/>
      </c>
      <c r="D59" s="18">
        <f>COUNTIFS('Avaliação'!$D$2:$D$55,"15.2",'Avaliação'!$Q$2:$Q$55,1)</f>
        <v/>
      </c>
      <c r="E59" s="19">
        <f>IFERROR(COUNTIFS('Avaliação'!$D$2:$D$55,"15.2",'Avaliação'!$R$2:$R$55,1)/D59,"—")</f>
        <v/>
      </c>
      <c r="F59" s="18">
        <f>COUNTIFS('Avaliação'!$D$2:$D$55,"15.2",'Avaliação'!$P$2:$P$55,"Falso não atende")</f>
        <v/>
      </c>
      <c r="G59" s="18">
        <f>COUNTIFS('Avaliação'!$D$2:$D$55,"15.2",'Avaliação'!$P$2:$P$55,"Falso atende")</f>
        <v/>
      </c>
      <c r="H59" s="18">
        <f>COUNTIFS('Avaliação'!$D$2:$D$55,"15.2",'Avaliação'!$G$2:$G$55,"inconclusivo")</f>
        <v/>
      </c>
    </row>
    <row r="60">
      <c r="A60" s="17" t="inlineStr">
        <is>
          <t>15.4</t>
        </is>
      </c>
      <c r="B60" s="18">
        <f>COUNTIF('Avaliação'!$D$2:$D$55,"15.4")</f>
        <v/>
      </c>
      <c r="C60" s="18">
        <f>COUNTIFS('Avaliação'!$D$2:$D$55,"15.4",'Avaliação'!$L$2:$L$55,"&lt;&gt;")</f>
        <v/>
      </c>
      <c r="D60" s="18">
        <f>COUNTIFS('Avaliação'!$D$2:$D$55,"15.4",'Avaliação'!$Q$2:$Q$55,1)</f>
        <v/>
      </c>
      <c r="E60" s="19">
        <f>IFERROR(COUNTIFS('Avaliação'!$D$2:$D$55,"15.4",'Avaliação'!$R$2:$R$55,1)/D60,"—")</f>
        <v/>
      </c>
      <c r="F60" s="18">
        <f>COUNTIFS('Avaliação'!$D$2:$D$55,"15.4",'Avaliação'!$P$2:$P$55,"Falso não atende")</f>
        <v/>
      </c>
      <c r="G60" s="18">
        <f>COUNTIFS('Avaliação'!$D$2:$D$55,"15.4",'Avaliação'!$P$2:$P$55,"Falso atende")</f>
        <v/>
      </c>
      <c r="H60" s="18">
        <f>COUNTIFS('Avaliação'!$D$2:$D$55,"15.4",'Avaliação'!$G$2:$G$55,"inconclusivo")</f>
        <v/>
      </c>
    </row>
    <row r="61">
      <c r="A61" s="17" t="inlineStr">
        <is>
          <t>16.1</t>
        </is>
      </c>
      <c r="B61" s="18">
        <f>COUNTIF('Avaliação'!$D$2:$D$55,"16.1")</f>
        <v/>
      </c>
      <c r="C61" s="18">
        <f>COUNTIFS('Avaliação'!$D$2:$D$55,"16.1",'Avaliação'!$L$2:$L$55,"&lt;&gt;")</f>
        <v/>
      </c>
      <c r="D61" s="18">
        <f>COUNTIFS('Avaliação'!$D$2:$D$55,"16.1",'Avaliação'!$Q$2:$Q$55,1)</f>
        <v/>
      </c>
      <c r="E61" s="19">
        <f>IFERROR(COUNTIFS('Avaliação'!$D$2:$D$55,"16.1",'Avaliação'!$R$2:$R$55,1)/D61,"—")</f>
        <v/>
      </c>
      <c r="F61" s="18">
        <f>COUNTIFS('Avaliação'!$D$2:$D$55,"16.1",'Avaliação'!$P$2:$P$55,"Falso não atende")</f>
        <v/>
      </c>
      <c r="G61" s="18">
        <f>COUNTIFS('Avaliação'!$D$2:$D$55,"16.1",'Avaliação'!$P$2:$P$55,"Falso atende")</f>
        <v/>
      </c>
      <c r="H61" s="18">
        <f>COUNTIFS('Avaliação'!$D$2:$D$55,"16.1",'Avaliação'!$G$2:$G$55,"inconclusivo")</f>
        <v/>
      </c>
    </row>
    <row r="62">
      <c r="A62" s="17" t="inlineStr">
        <is>
          <t>16.2</t>
        </is>
      </c>
      <c r="B62" s="18">
        <f>COUNTIF('Avaliação'!$D$2:$D$55,"16.2")</f>
        <v/>
      </c>
      <c r="C62" s="18">
        <f>COUNTIFS('Avaliação'!$D$2:$D$55,"16.2",'Avaliação'!$L$2:$L$55,"&lt;&gt;")</f>
        <v/>
      </c>
      <c r="D62" s="18">
        <f>COUNTIFS('Avaliação'!$D$2:$D$55,"16.2",'Avaliação'!$Q$2:$Q$55,1)</f>
        <v/>
      </c>
      <c r="E62" s="19">
        <f>IFERROR(COUNTIFS('Avaliação'!$D$2:$D$55,"16.2",'Avaliação'!$R$2:$R$55,1)/D62,"—")</f>
        <v/>
      </c>
      <c r="F62" s="18">
        <f>COUNTIFS('Avaliação'!$D$2:$D$55,"16.2",'Avaliação'!$P$2:$P$55,"Falso não atende")</f>
        <v/>
      </c>
      <c r="G62" s="18">
        <f>COUNTIFS('Avaliação'!$D$2:$D$55,"16.2",'Avaliação'!$P$2:$P$55,"Falso atende")</f>
        <v/>
      </c>
      <c r="H62" s="18">
        <f>COUNTIFS('Avaliação'!$D$2:$D$55,"16.2",'Avaliação'!$G$2:$G$55,"inconclusivo")</f>
        <v/>
      </c>
    </row>
    <row r="63">
      <c r="A63" s="17" t="inlineStr">
        <is>
          <t>16.3</t>
        </is>
      </c>
      <c r="B63" s="18">
        <f>COUNTIF('Avaliação'!$D$2:$D$55,"16.3")</f>
        <v/>
      </c>
      <c r="C63" s="18">
        <f>COUNTIFS('Avaliação'!$D$2:$D$55,"16.3",'Avaliação'!$L$2:$L$55,"&lt;&gt;")</f>
        <v/>
      </c>
      <c r="D63" s="18">
        <f>COUNTIFS('Avaliação'!$D$2:$D$55,"16.3",'Avaliação'!$Q$2:$Q$55,1)</f>
        <v/>
      </c>
      <c r="E63" s="19">
        <f>IFERROR(COUNTIFS('Avaliação'!$D$2:$D$55,"16.3",'Avaliação'!$R$2:$R$55,1)/D63,"—")</f>
        <v/>
      </c>
      <c r="F63" s="18">
        <f>COUNTIFS('Avaliação'!$D$2:$D$55,"16.3",'Avaliação'!$P$2:$P$55,"Falso não atende")</f>
        <v/>
      </c>
      <c r="G63" s="18">
        <f>COUNTIFS('Avaliação'!$D$2:$D$55,"16.3",'Avaliação'!$P$2:$P$55,"Falso atende")</f>
        <v/>
      </c>
      <c r="H63" s="18">
        <f>COUNTIFS('Avaliação'!$D$2:$D$55,"16.3",'Avaliação'!$G$2:$G$55,"inconclusivo")</f>
        <v/>
      </c>
    </row>
    <row r="64">
      <c r="A64" s="17" t="inlineStr">
        <is>
          <t>18.1</t>
        </is>
      </c>
      <c r="B64" s="18">
        <f>COUNTIF('Avaliação'!$D$2:$D$55,"18.1")</f>
        <v/>
      </c>
      <c r="C64" s="18">
        <f>COUNTIFS('Avaliação'!$D$2:$D$55,"18.1",'Avaliação'!$L$2:$L$55,"&lt;&gt;")</f>
        <v/>
      </c>
      <c r="D64" s="18">
        <f>COUNTIFS('Avaliação'!$D$2:$D$55,"18.1",'Avaliação'!$Q$2:$Q$55,1)</f>
        <v/>
      </c>
      <c r="E64" s="19">
        <f>IFERROR(COUNTIFS('Avaliação'!$D$2:$D$55,"18.1",'Avaliação'!$R$2:$R$55,1)/D64,"—")</f>
        <v/>
      </c>
      <c r="F64" s="18">
        <f>COUNTIFS('Avaliação'!$D$2:$D$55,"18.1",'Avaliação'!$P$2:$P$55,"Falso não atende")</f>
        <v/>
      </c>
      <c r="G64" s="18">
        <f>COUNTIFS('Avaliação'!$D$2:$D$55,"18.1",'Avaliação'!$P$2:$P$55,"Falso atende")</f>
        <v/>
      </c>
      <c r="H64" s="18">
        <f>COUNTIFS('Avaliação'!$D$2:$D$55,"18.1",'Avaliação'!$G$2:$G$55,"inconclusivo")</f>
        <v/>
      </c>
    </row>
    <row r="65">
      <c r="A65" s="17" t="inlineStr">
        <is>
          <t>18.3</t>
        </is>
      </c>
      <c r="B65" s="18">
        <f>COUNTIF('Avaliação'!$D$2:$D$55,"18.3")</f>
        <v/>
      </c>
      <c r="C65" s="18">
        <f>COUNTIFS('Avaliação'!$D$2:$D$55,"18.3",'Avaliação'!$L$2:$L$55,"&lt;&gt;")</f>
        <v/>
      </c>
      <c r="D65" s="18">
        <f>COUNTIFS('Avaliação'!$D$2:$D$55,"18.3",'Avaliação'!$Q$2:$Q$55,1)</f>
        <v/>
      </c>
      <c r="E65" s="19">
        <f>IFERROR(COUNTIFS('Avaliação'!$D$2:$D$55,"18.3",'Avaliação'!$R$2:$R$55,1)/D65,"—")</f>
        <v/>
      </c>
      <c r="F65" s="18">
        <f>COUNTIFS('Avaliação'!$D$2:$D$55,"18.3",'Avaliação'!$P$2:$P$55,"Falso não atende")</f>
        <v/>
      </c>
      <c r="G65" s="18">
        <f>COUNTIFS('Avaliação'!$D$2:$D$55,"18.3",'Avaliação'!$P$2:$P$55,"Falso atende")</f>
        <v/>
      </c>
      <c r="H65" s="18">
        <f>COUNTIFS('Avaliação'!$D$2:$D$55,"18.3",'Avaliação'!$G$2:$G$55,"inconclusivo")</f>
        <v/>
      </c>
    </row>
    <row r="66">
      <c r="A66" s="17" t="inlineStr">
        <is>
          <t>19.1</t>
        </is>
      </c>
      <c r="B66" s="18">
        <f>COUNTIF('Avaliação'!$D$2:$D$55,"19.1")</f>
        <v/>
      </c>
      <c r="C66" s="18">
        <f>COUNTIFS('Avaliação'!$D$2:$D$55,"19.1",'Avaliação'!$L$2:$L$55,"&lt;&gt;")</f>
        <v/>
      </c>
      <c r="D66" s="18">
        <f>COUNTIFS('Avaliação'!$D$2:$D$55,"19.1",'Avaliação'!$Q$2:$Q$55,1)</f>
        <v/>
      </c>
      <c r="E66" s="19">
        <f>IFERROR(COUNTIFS('Avaliação'!$D$2:$D$55,"19.1",'Avaliação'!$R$2:$R$55,1)/D66,"—")</f>
        <v/>
      </c>
      <c r="F66" s="18">
        <f>COUNTIFS('Avaliação'!$D$2:$D$55,"19.1",'Avaliação'!$P$2:$P$55,"Falso não atende")</f>
        <v/>
      </c>
      <c r="G66" s="18">
        <f>COUNTIFS('Avaliação'!$D$2:$D$55,"19.1",'Avaliação'!$P$2:$P$55,"Falso atende")</f>
        <v/>
      </c>
      <c r="H66" s="18">
        <f>COUNTIFS('Avaliação'!$D$2:$D$55,"19.1",'Avaliação'!$G$2:$G$55,"inconclusivo")</f>
        <v/>
      </c>
    </row>
    <row r="67">
      <c r="A67" s="17" t="inlineStr">
        <is>
          <t>19.3</t>
        </is>
      </c>
      <c r="B67" s="18">
        <f>COUNTIF('Avaliação'!$D$2:$D$55,"19.3")</f>
        <v/>
      </c>
      <c r="C67" s="18">
        <f>COUNTIFS('Avaliação'!$D$2:$D$55,"19.3",'Avaliação'!$L$2:$L$55,"&lt;&gt;")</f>
        <v/>
      </c>
      <c r="D67" s="18">
        <f>COUNTIFS('Avaliação'!$D$2:$D$55,"19.3",'Avaliação'!$Q$2:$Q$55,1)</f>
        <v/>
      </c>
      <c r="E67" s="19">
        <f>IFERROR(COUNTIFS('Avaliação'!$D$2:$D$55,"19.3",'Avaliação'!$R$2:$R$55,1)/D67,"—")</f>
        <v/>
      </c>
      <c r="F67" s="18">
        <f>COUNTIFS('Avaliação'!$D$2:$D$55,"19.3",'Avaliação'!$P$2:$P$55,"Falso não atende")</f>
        <v/>
      </c>
      <c r="G67" s="18">
        <f>COUNTIFS('Avaliação'!$D$2:$D$55,"19.3",'Avaliação'!$P$2:$P$55,"Falso atende")</f>
        <v/>
      </c>
      <c r="H67" s="18">
        <f>COUNTIFS('Avaliação'!$D$2:$D$55,"19.3",'Avaliação'!$G$2:$G$55,"inconclusivo")</f>
        <v/>
      </c>
    </row>
    <row r="68">
      <c r="A68" s="17" t="inlineStr">
        <is>
          <t>19.5</t>
        </is>
      </c>
      <c r="B68" s="18">
        <f>COUNTIF('Avaliação'!$D$2:$D$55,"19.5")</f>
        <v/>
      </c>
      <c r="C68" s="18">
        <f>COUNTIFS('Avaliação'!$D$2:$D$55,"19.5",'Avaliação'!$L$2:$L$55,"&lt;&gt;")</f>
        <v/>
      </c>
      <c r="D68" s="18">
        <f>COUNTIFS('Avaliação'!$D$2:$D$55,"19.5",'Avaliação'!$Q$2:$Q$55,1)</f>
        <v/>
      </c>
      <c r="E68" s="19">
        <f>IFERROR(COUNTIFS('Avaliação'!$D$2:$D$55,"19.5",'Avaliação'!$R$2:$R$55,1)/D68,"—")</f>
        <v/>
      </c>
      <c r="F68" s="18">
        <f>COUNTIFS('Avaliação'!$D$2:$D$55,"19.5",'Avaliação'!$P$2:$P$55,"Falso não atende")</f>
        <v/>
      </c>
      <c r="G68" s="18">
        <f>COUNTIFS('Avaliação'!$D$2:$D$55,"19.5",'Avaliação'!$P$2:$P$55,"Falso atende")</f>
        <v/>
      </c>
      <c r="H68" s="18">
        <f>COUNTIFS('Avaliação'!$D$2:$D$55,"19.5",'Avaliação'!$G$2:$G$55,"inconclusivo")</f>
        <v/>
      </c>
    </row>
    <row r="69">
      <c r="A69" s="17" t="inlineStr">
        <is>
          <t>20.1</t>
        </is>
      </c>
      <c r="B69" s="18">
        <f>COUNTIF('Avaliação'!$D$2:$D$55,"20.1")</f>
        <v/>
      </c>
      <c r="C69" s="18">
        <f>COUNTIFS('Avaliação'!$D$2:$D$55,"20.1",'Avaliação'!$L$2:$L$55,"&lt;&gt;")</f>
        <v/>
      </c>
      <c r="D69" s="18">
        <f>COUNTIFS('Avaliação'!$D$2:$D$55,"20.1",'Avaliação'!$Q$2:$Q$55,1)</f>
        <v/>
      </c>
      <c r="E69" s="19">
        <f>IFERROR(COUNTIFS('Avaliação'!$D$2:$D$55,"20.1",'Avaliação'!$R$2:$R$55,1)/D69,"—")</f>
        <v/>
      </c>
      <c r="F69" s="18">
        <f>COUNTIFS('Avaliação'!$D$2:$D$55,"20.1",'Avaliação'!$P$2:$P$55,"Falso não atende")</f>
        <v/>
      </c>
      <c r="G69" s="18">
        <f>COUNTIFS('Avaliação'!$D$2:$D$55,"20.1",'Avaliação'!$P$2:$P$55,"Falso atende")</f>
        <v/>
      </c>
      <c r="H69" s="18">
        <f>COUNTIFS('Avaliação'!$D$2:$D$55,"20.1",'Avaliação'!$G$2:$G$55,"inconclusivo")</f>
        <v/>
      </c>
    </row>
    <row r="72">
      <c r="A72" s="15" t="inlineStr">
        <is>
          <t>Por entidade</t>
        </is>
      </c>
    </row>
    <row r="73">
      <c r="A73" s="4" t="inlineStr">
        <is>
          <t>Item</t>
        </is>
      </c>
      <c r="B73" s="4" t="inlineStr">
        <is>
          <t>Linhas</t>
        </is>
      </c>
      <c r="C73" s="4" t="inlineStr">
        <is>
          <t>Conferidas</t>
        </is>
      </c>
      <c r="D73" s="4" t="inlineStr">
        <is>
          <t>Pares conclusivos</t>
        </is>
      </c>
      <c r="E73" s="4" t="inlineStr">
        <is>
          <t>Concordância</t>
        </is>
      </c>
      <c r="F73" s="4" t="inlineStr">
        <is>
          <t>Falso não atende</t>
        </is>
      </c>
      <c r="G73" s="4" t="inlineStr">
        <is>
          <t>Falso atende</t>
        </is>
      </c>
      <c r="H73" s="4" t="inlineStr">
        <is>
          <t>Inconclusivos (robô)</t>
        </is>
      </c>
    </row>
    <row r="74">
      <c r="A74" s="17" t="inlineStr">
        <is>
          <t>Japeri</t>
        </is>
      </c>
      <c r="B74" s="18">
        <f>COUNTIF('Avaliação'!$A$2:$A$55,"Japeri")</f>
        <v/>
      </c>
      <c r="C74" s="18">
        <f>COUNTIFS('Avaliação'!$A$2:$A$55,"Japeri",'Avaliação'!$L$2:$L$55,"&lt;&gt;")</f>
        <v/>
      </c>
      <c r="D74" s="18">
        <f>COUNTIFS('Avaliação'!$A$2:$A$55,"Japeri",'Avaliação'!$Q$2:$Q$55,1)</f>
        <v/>
      </c>
      <c r="E74" s="19">
        <f>IFERROR(COUNTIFS('Avaliação'!$A$2:$A$55,"Japeri",'Avaliação'!$R$2:$R$55,1)/D74,"—")</f>
        <v/>
      </c>
      <c r="F74" s="18">
        <f>COUNTIFS('Avaliação'!$A$2:$A$55,"Japeri",'Avaliação'!$P$2:$P$55,"Falso não atende")</f>
        <v/>
      </c>
      <c r="G74" s="18">
        <f>COUNTIFS('Avaliação'!$A$2:$A$55,"Japeri",'Avaliação'!$P$2:$P$55,"Falso atende")</f>
        <v/>
      </c>
      <c r="H74" s="18">
        <f>COUNTIFS('Avaliação'!$A$2:$A$55,"Japeri",'Avaliação'!$G$2:$G$55,"inconclusivo")</f>
        <v/>
      </c>
    </row>
    <row r="75">
      <c r="A75" s="17" t="inlineStr">
        <is>
          <t>Rio de Janeiro</t>
        </is>
      </c>
      <c r="B75" s="18">
        <f>COUNTIF('Avaliação'!$A$2:$A$55,"Rio de Janeiro")</f>
        <v/>
      </c>
      <c r="C75" s="18">
        <f>COUNTIFS('Avaliação'!$A$2:$A$55,"Rio de Janeiro",'Avaliação'!$L$2:$L$55,"&lt;&gt;")</f>
        <v/>
      </c>
      <c r="D75" s="18">
        <f>COUNTIFS('Avaliação'!$A$2:$A$55,"Rio de Janeiro",'Avaliação'!$Q$2:$Q$55,1)</f>
        <v/>
      </c>
      <c r="E75" s="19">
        <f>IFERROR(COUNTIFS('Avaliação'!$A$2:$A$55,"Rio de Janeiro",'Avaliação'!$R$2:$R$55,1)/D75,"—")</f>
        <v/>
      </c>
      <c r="F75" s="18">
        <f>COUNTIFS('Avaliação'!$A$2:$A$55,"Rio de Janeiro",'Avaliação'!$P$2:$P$55,"Falso não atende")</f>
        <v/>
      </c>
      <c r="G75" s="18">
        <f>COUNTIFS('Avaliação'!$A$2:$A$55,"Rio de Janeiro",'Avaliação'!$P$2:$P$55,"Falso atende")</f>
        <v/>
      </c>
      <c r="H75" s="18">
        <f>COUNTIFS('Avaliação'!$A$2:$A$55,"Rio de Janeiro",'Avaliação'!$G$2:$G$55,"inconclusivo")</f>
        <v/>
      </c>
    </row>
  </sheetData>
  <mergeCells count="14">
    <mergeCell ref="C11:H11"/>
    <mergeCell ref="C6:H6"/>
    <mergeCell ref="C10:H10"/>
    <mergeCell ref="C2:H2"/>
    <mergeCell ref="C14:H14"/>
    <mergeCell ref="C5:H5"/>
    <mergeCell ref="C13:H13"/>
    <mergeCell ref="C9:H9"/>
    <mergeCell ref="C8:H8"/>
    <mergeCell ref="C4:H4"/>
    <mergeCell ref="C3:H3"/>
    <mergeCell ref="C12:H12"/>
    <mergeCell ref="C7:H7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8" customWidth="1" min="4" max="4"/>
    <col width="46" customWidth="1" min="5" max="5"/>
    <col width="12" customWidth="1" min="6" max="6"/>
    <col width="13" customWidth="1" min="7" max="7"/>
    <col width="10" customWidth="1" min="8" max="8"/>
    <col width="46" customWidth="1" min="9" max="9"/>
    <col width="34" customWidth="1" min="10" max="10"/>
    <col width="40" customWidth="1" min="11" max="11"/>
    <col width="15" customWidth="1" min="12" max="12"/>
    <col width="30" customWidth="1" min="13" max="13"/>
    <col width="26" customWidth="1" min="14" max="14"/>
    <col width="30" customWidth="1" min="15" max="15"/>
    <col width="18" customWidth="1" min="16" max="16"/>
    <col width="9" customWidth="1" min="17" max="17"/>
    <col width="9" customWidth="1" min="18" max="18"/>
  </cols>
  <sheetData>
    <row r="1">
      <c r="A1" s="4" t="inlineStr">
        <is>
          <t>Entidade</t>
        </is>
      </c>
      <c r="B1" s="4" t="inlineStr">
        <is>
          <t>Avaliação nº</t>
        </is>
      </c>
      <c r="C1" s="4" t="inlineStr">
        <is>
          <t>Data da coleta</t>
        </is>
      </c>
      <c r="D1" s="4" t="inlineStr">
        <is>
          <t>Critério</t>
        </is>
      </c>
      <c r="E1" s="4" t="inlineStr">
        <is>
          <t>Descrição do critério</t>
        </is>
      </c>
      <c r="F1" s="4" t="inlineStr">
        <is>
          <t>Classificação</t>
        </is>
      </c>
      <c r="G1" s="4" t="inlineStr">
        <is>
          <t>Status do robô</t>
        </is>
      </c>
      <c r="H1" s="4" t="inlineStr">
        <is>
          <t>Confiança</t>
        </is>
      </c>
      <c r="I1" s="4" t="inlineStr">
        <is>
          <t>Conclusão do robô</t>
        </is>
      </c>
      <c r="J1" s="4" t="inlineStr">
        <is>
          <t>URL da evidência</t>
        </is>
      </c>
      <c r="K1" s="4" t="inlineStr">
        <is>
          <t>Trecho da evidência</t>
        </is>
      </c>
      <c r="L1" s="4" t="inlineStr">
        <is>
          <t>Status conferido</t>
        </is>
      </c>
      <c r="M1" s="4" t="inlineStr">
        <is>
          <t>URL onde conferiu</t>
        </is>
      </c>
      <c r="N1" s="4" t="inlineStr">
        <is>
          <t>Causa da divergência</t>
        </is>
      </c>
      <c r="O1" s="4" t="inlineStr">
        <is>
          <t>Observação</t>
        </is>
      </c>
      <c r="P1" s="4" t="inlineStr">
        <is>
          <t>Classe</t>
        </is>
      </c>
      <c r="Q1" s="4" t="inlineStr">
        <is>
          <t>Par conclusivo</t>
        </is>
      </c>
      <c r="R1" s="4" t="inlineStr">
        <is>
          <t>Acerto exato</t>
        </is>
      </c>
    </row>
    <row r="2">
      <c r="A2" s="20" t="inlineStr">
        <is>
          <t>Japeri</t>
        </is>
      </c>
      <c r="B2" s="20" t="n">
        <v>45</v>
      </c>
      <c r="C2" s="20" t="inlineStr">
        <is>
          <t>2026-10-17</t>
        </is>
      </c>
      <c r="D2" s="20" t="inlineStr">
        <is>
          <t>1.1</t>
        </is>
      </c>
      <c r="E2" s="21" t="inlineStr">
        <is>
          <t>A entidade pública possui sítio oficial e/ou portal da transparência próprio ou compartilhado na internet?</t>
        </is>
      </c>
      <c r="F2" s="20" t="inlineStr">
        <is>
          <t>essencial</t>
        </is>
      </c>
      <c r="G2" s="20" t="inlineStr">
        <is>
          <t>atende</t>
        </is>
      </c>
      <c r="H2" s="22" t="n">
        <v>0.95</v>
      </c>
      <c r="I2" s="21" t="inlineStr">
        <is>
          <t>Sítio oficial e portal da transparência responderam (HTTP 200).</t>
        </is>
      </c>
      <c r="J2" s="20" t="inlineStr">
        <is>
          <t>https://japeri.rj.gov.br/</t>
        </is>
      </c>
      <c r="K2" s="21" t="inlineStr">
        <is>
          <t>HTTP 200</t>
        </is>
      </c>
      <c r="L2" s="23" t="inlineStr">
        <is>
          <t>atende</t>
        </is>
      </c>
      <c r="M2" s="23" t="inlineStr">
        <is>
          <t>https://japeri.rj.gov.br/</t>
        </is>
      </c>
      <c r="N2" s="23" t="n"/>
      <c r="O2" s="23" t="n"/>
      <c r="P2" s="24">
        <f>IF(L2="","",IF(G2="inconclusivo","Inconclusivo",IF(L2="nao_aplicavel","Aplicabilidade",IF(L2="nao_verificavel","Não verificável",IF(G2=L2,"Concordância",IF(G2="nao_atende","Falso não atende",IF(G2="atende","Falso atende","Divergência de grau")))))))</f>
        <v/>
      </c>
      <c r="Q2" s="24">
        <f>IF(AND(OR(G2="atende",G2="parcial",G2="nao_atende"),OR(L2="atende",L2="parcial",L2="nao_atende")),1,0)</f>
        <v/>
      </c>
      <c r="R2" s="24">
        <f>IF(Q2=1,IF(G2=L2,1,0),"")</f>
        <v/>
      </c>
    </row>
    <row r="3">
      <c r="A3" s="20" t="inlineStr">
        <is>
          <t>Japeri</t>
        </is>
      </c>
      <c r="B3" s="20" t="n">
        <v>45</v>
      </c>
      <c r="C3" s="20" t="inlineStr">
        <is>
          <t>2026-10-17</t>
        </is>
      </c>
      <c r="D3" s="20" t="inlineStr">
        <is>
          <t>1.2</t>
        </is>
      </c>
      <c r="E3" s="21" t="inlineStr">
        <is>
          <t>O acesso ao portal transparência está visível na capa do site?</t>
        </is>
      </c>
      <c r="F3" s="20" t="inlineStr">
        <is>
          <t>essencial</t>
        </is>
      </c>
      <c r="G3" s="20" t="inlineStr">
        <is>
          <t>atende</t>
        </is>
      </c>
      <c r="H3" s="22" t="n">
        <v>0.9</v>
      </c>
      <c r="I3" s="21" t="inlineStr">
        <is>
          <t>A capa contém 7 link(s) rotulado(s) 'Transparência'. Screenshot anexado.</t>
        </is>
      </c>
      <c r="J3" s="20" t="inlineStr">
        <is>
          <t>https://japeri.rj.gov.br/links/</t>
        </is>
      </c>
      <c r="K3" s="21" t="inlineStr">
        <is>
          <t>Transparência</t>
        </is>
      </c>
      <c r="L3" s="23" t="inlineStr">
        <is>
          <t>atende</t>
        </is>
      </c>
      <c r="M3" s="23" t="inlineStr">
        <is>
          <t>https://japeri.rj.gov.br/links/</t>
        </is>
      </c>
      <c r="N3" s="23" t="n"/>
      <c r="O3" s="23" t="n"/>
      <c r="P3" s="24">
        <f>IF(L3="","",IF(G3="inconclusivo","Inconclusivo",IF(L3="nao_aplicavel","Aplicabilidade",IF(L3="nao_verificavel","Não verificável",IF(G3=L3,"Concordância",IF(G3="nao_atende","Falso não atende",IF(G3="atende","Falso atende","Divergência de grau")))))))</f>
        <v/>
      </c>
      <c r="Q3" s="24">
        <f>IF(AND(OR(G3="atende",G3="parcial",G3="nao_atende"),OR(L3="atende",L3="parcial",L3="nao_atende")),1,0)</f>
        <v/>
      </c>
      <c r="R3" s="24">
        <f>IF(Q3=1,IF(G3=L3,1,0),"")</f>
        <v/>
      </c>
    </row>
    <row r="4">
      <c r="A4" s="20" t="inlineStr">
        <is>
          <t>Japeri</t>
        </is>
      </c>
      <c r="B4" s="20" t="n">
        <v>45</v>
      </c>
      <c r="C4" s="20" t="inlineStr">
        <is>
          <t>2026-10-17</t>
        </is>
      </c>
      <c r="D4" s="20" t="inlineStr">
        <is>
          <t>1.3</t>
        </is>
      </c>
      <c r="E4" s="21" t="inlineStr">
        <is>
          <t>O site contém ferramenta de pesquisa de conteúdo que permita o acesso à informação?</t>
        </is>
      </c>
      <c r="F4" s="20" t="inlineStr">
        <is>
          <t>essencial</t>
        </is>
      </c>
      <c r="G4" s="20" t="inlineStr">
        <is>
          <t>atende</t>
        </is>
      </c>
      <c r="H4" s="22" t="n">
        <v>0.85</v>
      </c>
      <c r="I4" s="21" t="inlineStr">
        <is>
          <t>Campo de pesquisa encontrado.</t>
        </is>
      </c>
      <c r="J4" s="20" t="inlineStr">
        <is>
          <t>https://japeri.rj.gov.br/</t>
        </is>
      </c>
      <c r="K4" s="21" t="inlineStr">
        <is>
          <t>campo 's' (text)</t>
        </is>
      </c>
      <c r="L4" s="23" t="inlineStr">
        <is>
          <t>atende</t>
        </is>
      </c>
      <c r="M4" s="23" t="inlineStr">
        <is>
          <t>https://japeri.rj.gov.br/</t>
        </is>
      </c>
      <c r="N4" s="23" t="n"/>
      <c r="O4" s="23" t="n"/>
      <c r="P4" s="24">
        <f>IF(L4="","",IF(G4="inconclusivo","Inconclusivo",IF(L4="nao_aplicavel","Aplicabilidade",IF(L4="nao_verificavel","Não verificável",IF(G4=L4,"Concordância",IF(G4="nao_atende","Falso não atende",IF(G4="atende","Falso atende","Divergência de grau")))))))</f>
        <v/>
      </c>
      <c r="Q4" s="24">
        <f>IF(AND(OR(G4="atende",G4="parcial",G4="nao_atende"),OR(L4="atende",L4="parcial",L4="nao_atende")),1,0)</f>
        <v/>
      </c>
      <c r="R4" s="24">
        <f>IF(Q4=1,IF(G4=L4,1,0),"")</f>
        <v/>
      </c>
    </row>
    <row r="5">
      <c r="A5" s="20" t="inlineStr">
        <is>
          <t>Japeri</t>
        </is>
      </c>
      <c r="B5" s="20" t="n">
        <v>45</v>
      </c>
      <c r="C5" s="20" t="inlineStr">
        <is>
          <t>2026-10-17</t>
        </is>
      </c>
      <c r="D5" s="20" t="inlineStr">
        <is>
          <t>2.1</t>
        </is>
      </c>
      <c r="E5" s="21" t="inlineStr">
        <is>
          <t>Competências e/ou atribuições</t>
        </is>
      </c>
      <c r="F5" s="20" t="inlineStr">
        <is>
          <t>obrigatoria</t>
        </is>
      </c>
      <c r="G5" s="20" t="inlineStr">
        <is>
          <t>atende</t>
        </is>
      </c>
      <c r="H5" s="22" t="n">
        <v>0.75</v>
      </c>
      <c r="I5" s="21" t="inlineStr">
        <is>
          <t>Página com título de competências/atribuições.</t>
        </is>
      </c>
      <c r="J5" s="20" t="inlineStr">
        <is>
          <t>https://japeri.geosiap.net.br/portal-transparencia/api-docs#!/RH_-_Servidores/get_rh_servidores_organograma</t>
        </is>
      </c>
      <c r="K5" s="21" t="inlineStr">
        <is>
          <t>, " codigo_cargo ": "string" } ] } Response Content Type application/json Parameters Parameter Value Description Parameter Type Data Type id_entidade ID da entidade a se efetuar a busca query integer competencia Data no formato AAAA-MM-DD query string Hide Response Curl Request URL Response Body Res</t>
        </is>
      </c>
      <c r="L5" s="23" t="inlineStr">
        <is>
          <t>atende</t>
        </is>
      </c>
      <c r="M5" s="23" t="inlineStr">
        <is>
          <t>https://japeri.rj.gov.br/team/secretaria-municipal-de-cultura/</t>
        </is>
      </c>
      <c r="N5" s="23" t="n"/>
      <c r="O5" s="23" t="n"/>
      <c r="P5" s="24">
        <f>IF(L5="","",IF(G5="inconclusivo","Inconclusivo",IF(L5="nao_aplicavel","Aplicabilidade",IF(L5="nao_verificavel","Não verificável",IF(G5=L5,"Concordância",IF(G5="nao_atende","Falso não atende",IF(G5="atende","Falso atende","Divergência de grau")))))))</f>
        <v/>
      </c>
      <c r="Q5" s="24">
        <f>IF(AND(OR(G5="atende",G5="parcial",G5="nao_atende"),OR(L5="atende",L5="parcial",L5="nao_atende")),1,0)</f>
        <v/>
      </c>
      <c r="R5" s="24">
        <f>IF(Q5=1,IF(G5=L5,1,0),"")</f>
        <v/>
      </c>
    </row>
    <row r="6">
      <c r="A6" s="20" t="inlineStr">
        <is>
          <t>Japeri</t>
        </is>
      </c>
      <c r="B6" s="20" t="n">
        <v>45</v>
      </c>
      <c r="C6" s="20" t="inlineStr">
        <is>
          <t>2026-10-17</t>
        </is>
      </c>
      <c r="D6" s="20" t="inlineStr">
        <is>
          <t>2.4</t>
        </is>
      </c>
      <c r="E6" s="21" t="inlineStr">
        <is>
          <t>Endereços</t>
        </is>
      </c>
      <c r="F6" s="20" t="inlineStr">
        <is>
          <t>obrigatoria</t>
        </is>
      </c>
      <c r="G6" s="20" t="inlineStr">
        <is>
          <t>atende</t>
        </is>
      </c>
      <c r="H6" s="22" t="n">
        <v>0.8</v>
      </c>
      <c r="I6" s="21" t="inlineStr">
        <is>
          <t>Endereço encontrado(s) em 'Prefeitura Municipal de Japeri'.</t>
        </is>
      </c>
      <c r="J6" s="20" t="inlineStr">
        <is>
          <t>https://japeri.rj.gov.br/</t>
        </is>
      </c>
      <c r="K6" s="21" t="inlineStr">
        <is>
          <t>Tributos / Transparência Fazenda Digital Portal do Servidor Acesso a Informação Rua Francisco da Costa Filho, 1993 - Santa Inês (21) 3952-6610 - contato@japeri.rj.gov.br Home Sobre a Cidade Gove</t>
        </is>
      </c>
      <c r="L6" s="23" t="inlineStr">
        <is>
          <t>atende</t>
        </is>
      </c>
      <c r="M6" s="23" t="inlineStr">
        <is>
          <t>https://japeri.rj.gov.br/</t>
        </is>
      </c>
      <c r="N6" s="23" t="n"/>
      <c r="O6" s="23" t="n"/>
      <c r="P6" s="24">
        <f>IF(L6="","",IF(G6="inconclusivo","Inconclusivo",IF(L6="nao_aplicavel","Aplicabilidade",IF(L6="nao_verificavel","Não verificável",IF(G6=L6,"Concordância",IF(G6="nao_atende","Falso não atende",IF(G6="atende","Falso atende","Divergência de grau")))))))</f>
        <v/>
      </c>
      <c r="Q6" s="24">
        <f>IF(AND(OR(G6="atende",G6="parcial",G6="nao_atende"),OR(L6="atende",L6="parcial",L6="nao_atende")),1,0)</f>
        <v/>
      </c>
      <c r="R6" s="24">
        <f>IF(Q6=1,IF(G6=L6,1,0),"")</f>
        <v/>
      </c>
    </row>
    <row r="7">
      <c r="A7" s="20" t="inlineStr">
        <is>
          <t>Japeri</t>
        </is>
      </c>
      <c r="B7" s="20" t="n">
        <v>45</v>
      </c>
      <c r="C7" s="20" t="inlineStr">
        <is>
          <t>2026-10-17</t>
        </is>
      </c>
      <c r="D7" s="20" t="inlineStr">
        <is>
          <t>2.5</t>
        </is>
      </c>
      <c r="E7" s="21" t="inlineStr">
        <is>
          <t>Telefones</t>
        </is>
      </c>
      <c r="F7" s="20" t="inlineStr">
        <is>
          <t>obrigatoria</t>
        </is>
      </c>
      <c r="G7" s="20" t="inlineStr">
        <is>
          <t>atende</t>
        </is>
      </c>
      <c r="H7" s="22" t="n">
        <v>0.8</v>
      </c>
      <c r="I7" s="21" t="inlineStr">
        <is>
          <t>Telefone encontrado(s) em 'Prefeitura Municipal de Japeri'.</t>
        </is>
      </c>
      <c r="J7" s="20" t="inlineStr">
        <is>
          <t>https://japeri.rj.gov.br/</t>
        </is>
      </c>
      <c r="K7" s="21" t="inlineStr">
        <is>
          <t>do Servidor Acesso a Informação Rua Francisco da Costa Filho, 1993 - Santa Inês (21) 3952-6610 - contato@japeri.rj.gov.br Home Sobre a Cidade Governo Prefeita Vice-Prefeito N</t>
        </is>
      </c>
      <c r="L7" s="23" t="inlineStr">
        <is>
          <t>atende</t>
        </is>
      </c>
      <c r="M7" s="23" t="inlineStr">
        <is>
          <t>https://japeri.rj.gov.br/</t>
        </is>
      </c>
      <c r="N7" s="23" t="n"/>
      <c r="O7" s="23" t="n"/>
      <c r="P7" s="24">
        <f>IF(L7="","",IF(G7="inconclusivo","Inconclusivo",IF(L7="nao_aplicavel","Aplicabilidade",IF(L7="nao_verificavel","Não verificável",IF(G7=L7,"Concordância",IF(G7="nao_atende","Falso não atende",IF(G7="atende","Falso atende","Divergência de grau")))))))</f>
        <v/>
      </c>
      <c r="Q7" s="24">
        <f>IF(AND(OR(G7="atende",G7="parcial",G7="nao_atende"),OR(L7="atende",L7="parcial",L7="nao_atende")),1,0)</f>
        <v/>
      </c>
      <c r="R7" s="24">
        <f>IF(Q7=1,IF(G7=L7,1,0),"")</f>
        <v/>
      </c>
    </row>
    <row r="8">
      <c r="A8" s="20" t="inlineStr">
        <is>
          <t>Japeri</t>
        </is>
      </c>
      <c r="B8" s="20" t="n">
        <v>45</v>
      </c>
      <c r="C8" s="20" t="inlineStr">
        <is>
          <t>2026-10-17</t>
        </is>
      </c>
      <c r="D8" s="20" t="inlineStr">
        <is>
          <t>2.6</t>
        </is>
      </c>
      <c r="E8" s="21" t="inlineStr">
        <is>
          <t>Horário de atendimento</t>
        </is>
      </c>
      <c r="F8" s="20" t="inlineStr">
        <is>
          <t>obrigatoria</t>
        </is>
      </c>
      <c r="G8" s="20" t="inlineStr">
        <is>
          <t>atende</t>
        </is>
      </c>
      <c r="H8" s="22" t="n">
        <v>0.75</v>
      </c>
      <c r="I8" s="21" t="inlineStr">
        <is>
          <t>Horário de atendimento encontrado(s) em 'Portal da Transparência'.</t>
        </is>
      </c>
      <c r="J8" s="20" t="inlineStr">
        <is>
          <t>https://japeri.geosiap.net.br/portal-transparencia</t>
        </is>
      </c>
      <c r="K8" s="21" t="inlineStr">
        <is>
          <t>@japeri.rj.gov.br Francisco da Costa Filho, Santa Inês JAPERI , RJ , 26381470 , 09:00 - 17:00 Página Inicial Painel COVID-19 SEI Saúde Execução Orçamentária Emendas Parlamen</t>
        </is>
      </c>
      <c r="L8" s="23" t="inlineStr">
        <is>
          <t>atende</t>
        </is>
      </c>
      <c r="M8" s="23" t="inlineStr">
        <is>
          <t>https://japeri.geosiap.net.br/portal-transparencia/</t>
        </is>
      </c>
      <c r="N8" s="23" t="n"/>
      <c r="O8" s="23" t="n"/>
      <c r="P8" s="24">
        <f>IF(L8="","",IF(G8="inconclusivo","Inconclusivo",IF(L8="nao_aplicavel","Aplicabilidade",IF(L8="nao_verificavel","Não verificável",IF(G8=L8,"Concordância",IF(G8="nao_atende","Falso não atende",IF(G8="atende","Falso atende","Divergência de grau")))))))</f>
        <v/>
      </c>
      <c r="Q8" s="24">
        <f>IF(AND(OR(G8="atende",G8="parcial",G8="nao_atende"),OR(L8="atende",L8="parcial",L8="nao_atende")),1,0)</f>
        <v/>
      </c>
      <c r="R8" s="24">
        <f>IF(Q8=1,IF(G8=L8,1,0),"")</f>
        <v/>
      </c>
    </row>
    <row r="9">
      <c r="A9" s="20" t="inlineStr">
        <is>
          <t>Japeri</t>
        </is>
      </c>
      <c r="B9" s="20" t="n">
        <v>45</v>
      </c>
      <c r="C9" s="20" t="inlineStr">
        <is>
          <t>2026-10-17</t>
        </is>
      </c>
      <c r="D9" s="20" t="inlineStr">
        <is>
          <t>2.9</t>
        </is>
      </c>
      <c r="E9" s="21" t="inlineStr">
        <is>
          <t>Canal de Comunicação com cidadão do tipo ‘Fale Conosco’, que permite ao interessado comunicar-se com órgão por via eletrônica ou telefônica</t>
        </is>
      </c>
      <c r="F9" s="20" t="inlineStr">
        <is>
          <t>obrigatoria</t>
        </is>
      </c>
      <c r="G9" s="20" t="inlineStr">
        <is>
          <t>atende</t>
        </is>
      </c>
      <c r="H9" s="22" t="n">
        <v>0.7</v>
      </c>
      <c r="I9" s="21" t="inlineStr">
        <is>
          <t>Link para canal de contato encontrado; formulário não verificado (pode estar em sistema externo).</t>
        </is>
      </c>
      <c r="J9" s="20" t="inlineStr">
        <is>
          <t>https://japeri.rj.gov.br/contato/</t>
        </is>
      </c>
      <c r="K9" s="21" t="inlineStr">
        <is>
          <t>Contato</t>
        </is>
      </c>
      <c r="L9" s="23" t="inlineStr">
        <is>
          <t>atende</t>
        </is>
      </c>
      <c r="M9" s="23" t="inlineStr">
        <is>
          <t>https://japeri.rj.gov.br/contato/</t>
        </is>
      </c>
      <c r="N9" s="23" t="n"/>
      <c r="O9" s="23" t="n"/>
      <c r="P9" s="24">
        <f>IF(L9="","",IF(G9="inconclusivo","Inconclusivo",IF(L9="nao_aplicavel","Aplicabilidade",IF(L9="nao_verificavel","Não verificável",IF(G9=L9,"Concordância",IF(G9="nao_atende","Falso não atende",IF(G9="atende","Falso atende","Divergência de grau")))))))</f>
        <v/>
      </c>
      <c r="Q9" s="24">
        <f>IF(AND(OR(G9="atende",G9="parcial",G9="nao_atende"),OR(L9="atende",L9="parcial",L9="nao_atende")),1,0)</f>
        <v/>
      </c>
      <c r="R9" s="24">
        <f>IF(Q9=1,IF(G9=L9,1,0),"")</f>
        <v/>
      </c>
    </row>
    <row r="10">
      <c r="A10" s="20" t="inlineStr">
        <is>
          <t>Japeri</t>
        </is>
      </c>
      <c r="B10" s="20" t="n">
        <v>45</v>
      </c>
      <c r="C10" s="20" t="inlineStr">
        <is>
          <t>2026-10-17</t>
        </is>
      </c>
      <c r="D10" s="20" t="inlineStr">
        <is>
          <t>3.1</t>
        </is>
      </c>
      <c r="E10" s="21" t="inlineStr">
        <is>
          <t>Valores da receita pública arrecadada</t>
        </is>
      </c>
      <c r="F10" s="20" t="inlineStr">
        <is>
          <t>essencial</t>
        </is>
      </c>
      <c r="G10" s="20" t="inlineStr">
        <is>
          <t>atende</t>
        </is>
      </c>
      <c r="H10" s="22" t="n">
        <v>0.85</v>
      </c>
      <c r="I10" s="21" t="inlineStr">
        <is>
          <t>API pública do portal expõe receitas com valor arrecadado.</t>
        </is>
      </c>
      <c r="J10" s="20" t="inlineStr">
        <is>
          <t>https://japeri.geosiap.net.br/portal-transparencia/api/execucao/receitas/proprias/receitas_proprias?id_entidade=10&amp;ano=2026&amp;layout=anual</t>
        </is>
      </c>
      <c r="K10" s="21" t="inlineStr">
        <is>
          <t>158 registros; campos: ds_plano_conta, vl_previsto, vl_total</t>
        </is>
      </c>
      <c r="L10" s="23" t="inlineStr">
        <is>
          <t>atende</t>
        </is>
      </c>
      <c r="M10" s="23" t="inlineStr">
        <is>
          <t>https://japeri.geosiap.net.br/portal-transparencia/</t>
        </is>
      </c>
      <c r="N10" s="23" t="n"/>
      <c r="O10" s="23" t="n"/>
      <c r="P10" s="24">
        <f>IF(L10="","",IF(G10="inconclusivo","Inconclusivo",IF(L10="nao_aplicavel","Aplicabilidade",IF(L10="nao_verificavel","Não verificável",IF(G10=L10,"Concordância",IF(G10="nao_atende","Falso não atende",IF(G10="atende","Falso atende","Divergência de grau")))))))</f>
        <v/>
      </c>
      <c r="Q10" s="24">
        <f>IF(AND(OR(G10="atende",G10="parcial",G10="nao_atende"),OR(L10="atende",L10="parcial",L10="nao_atende")),1,0)</f>
        <v/>
      </c>
      <c r="R10" s="24">
        <f>IF(Q10=1,IF(G10=L10,1,0),"")</f>
        <v/>
      </c>
    </row>
    <row r="11">
      <c r="A11" s="20" t="inlineStr">
        <is>
          <t>Japeri</t>
        </is>
      </c>
      <c r="B11" s="20" t="n">
        <v>45</v>
      </c>
      <c r="C11" s="20" t="inlineStr">
        <is>
          <t>2026-10-17</t>
        </is>
      </c>
      <c r="D11" s="20" t="inlineStr">
        <is>
          <t>3.5</t>
        </is>
      </c>
      <c r="E11" s="21" t="inlineStr">
        <is>
          <t>Gravação de relatórios em diversos formatos em relação aos critérios da receita</t>
        </is>
      </c>
      <c r="F11" s="20" t="inlineStr">
        <is>
          <t>obrigatoria</t>
        </is>
      </c>
      <c r="G11" s="20" t="inlineStr">
        <is>
          <t>parcial</t>
        </is>
      </c>
      <c r="H11" s="22" t="n">
        <v>0.7</v>
      </c>
      <c r="I11" s="21" t="inlineStr">
        <is>
          <t>Exportação de receita só em json.</t>
        </is>
      </c>
      <c r="J11" s="20" t="inlineStr">
        <is>
          <t>https://online.swagger.io/validator/debug?url=https://japeri.geosiap.net.br/portal-transparencia/api-docs/v1/swagger.json</t>
        </is>
      </c>
      <c r="K11" s="21" t="inlineStr"/>
      <c r="L11" s="23" t="inlineStr">
        <is>
          <t>parcial</t>
        </is>
      </c>
      <c r="M11" s="23" t="inlineStr">
        <is>
          <t>https://japeri.geosiap.net.br/portal-transparencia/</t>
        </is>
      </c>
      <c r="N11" s="23" t="n"/>
      <c r="O11" s="23" t="n"/>
      <c r="P11" s="24">
        <f>IF(L11="","",IF(G11="inconclusivo","Inconclusivo",IF(L11="nao_aplicavel","Aplicabilidade",IF(L11="nao_verificavel","Não verificável",IF(G11=L11,"Concordância",IF(G11="nao_atende","Falso não atende",IF(G11="atende","Falso atende","Divergência de grau")))))))</f>
        <v/>
      </c>
      <c r="Q11" s="24">
        <f>IF(AND(OR(G11="atende",G11="parcial",G11="nao_atende"),OR(L11="atende",L11="parcial",L11="nao_atende")),1,0)</f>
        <v/>
      </c>
      <c r="R11" s="24">
        <f>IF(Q11=1,IF(G11=L11,1,0),"")</f>
        <v/>
      </c>
    </row>
    <row r="12">
      <c r="A12" s="20" t="inlineStr">
        <is>
          <t>Japeri</t>
        </is>
      </c>
      <c r="B12" s="20" t="n">
        <v>45</v>
      </c>
      <c r="C12" s="20" t="inlineStr">
        <is>
          <t>2026-10-17</t>
        </is>
      </c>
      <c r="D12" s="20" t="inlineStr">
        <is>
          <t>4.1</t>
        </is>
      </c>
      <c r="E12" s="21" t="inlineStr">
        <is>
          <t>Número e o valor de empenho, liquidação e pagamento</t>
        </is>
      </c>
      <c r="F12" s="20" t="inlineStr">
        <is>
          <t>essencial</t>
        </is>
      </c>
      <c r="G12" s="20" t="inlineStr">
        <is>
          <t>atende</t>
        </is>
      </c>
      <c r="H12" s="22" t="n">
        <v>0.85</v>
      </c>
      <c r="I12" s="21" t="inlineStr">
        <is>
          <t>API pública do portal expõe empenho, liquidação e pagamento.</t>
        </is>
      </c>
      <c r="J12" s="20" t="inlineStr">
        <is>
          <t>https://japeri.geosiap.net.br/portal-transparencia/api/execucao/empenhos/empenhos?id_entidade=10&amp;ano=2026</t>
        </is>
      </c>
      <c r="K12" s="21" t="inlineStr">
        <is>
          <t>925 registros; campos: nr_empenho, vl_empenhado_per, vl_liquidado_per, vl_pago_per</t>
        </is>
      </c>
      <c r="L12" s="23" t="inlineStr">
        <is>
          <t>atende</t>
        </is>
      </c>
      <c r="M12" s="23" t="inlineStr">
        <is>
          <t>https://japeri.geosiap.net.br/portal-transparencia/</t>
        </is>
      </c>
      <c r="N12" s="23" t="n"/>
      <c r="O12" s="23" t="n"/>
      <c r="P12" s="24">
        <f>IF(L12="","",IF(G12="inconclusivo","Inconclusivo",IF(L12="nao_aplicavel","Aplicabilidade",IF(L12="nao_verificavel","Não verificável",IF(G12=L12,"Concordância",IF(G12="nao_atende","Falso não atende",IF(G12="atende","Falso atende","Divergência de grau")))))))</f>
        <v/>
      </c>
      <c r="Q12" s="24">
        <f>IF(AND(OR(G12="atende",G12="parcial",G12="nao_atende"),OR(L12="atende",L12="parcial",L12="nao_atende")),1,0)</f>
        <v/>
      </c>
      <c r="R12" s="24">
        <f>IF(Q12=1,IF(G12=L12,1,0),"")</f>
        <v/>
      </c>
    </row>
    <row r="13">
      <c r="A13" s="20" t="inlineStr">
        <is>
          <t>Japeri</t>
        </is>
      </c>
      <c r="B13" s="20" t="n">
        <v>45</v>
      </c>
      <c r="C13" s="20" t="inlineStr">
        <is>
          <t>2026-10-17</t>
        </is>
      </c>
      <c r="D13" s="20" t="inlineStr">
        <is>
          <t>4.5</t>
        </is>
      </c>
      <c r="E13" s="21" t="inlineStr">
        <is>
          <t>Gravação de relatórios em diversos formatos em relação aos critérios da despesa</t>
        </is>
      </c>
      <c r="F13" s="20" t="inlineStr">
        <is>
          <t>obrigatoria</t>
        </is>
      </c>
      <c r="G13" s="20" t="inlineStr">
        <is>
          <t>parcial</t>
        </is>
      </c>
      <c r="H13" s="22" t="n">
        <v>0.7</v>
      </c>
      <c r="I13" s="21" t="inlineStr">
        <is>
          <t>Exportação de despesa só em json.</t>
        </is>
      </c>
      <c r="J13" s="20" t="inlineStr">
        <is>
          <t>https://online.swagger.io/validator/debug?url=https://japeri.geosiap.net.br/portal-transparencia/api-docs/v1/swagger.json</t>
        </is>
      </c>
      <c r="K13" s="21" t="inlineStr"/>
      <c r="L13" s="23" t="inlineStr">
        <is>
          <t>parcial</t>
        </is>
      </c>
      <c r="M13" s="23" t="inlineStr">
        <is>
          <t>https://japeri.geosiap.net.br/portal-transparencia/</t>
        </is>
      </c>
      <c r="N13" s="23" t="n"/>
      <c r="O13" s="23" t="n"/>
      <c r="P13" s="24">
        <f>IF(L13="","",IF(G13="inconclusivo","Inconclusivo",IF(L13="nao_aplicavel","Aplicabilidade",IF(L13="nao_verificavel","Não verificável",IF(G13=L13,"Concordância",IF(G13="nao_atende","Falso não atende",IF(G13="atende","Falso atende","Divergência de grau")))))))</f>
        <v/>
      </c>
      <c r="Q13" s="24">
        <f>IF(AND(OR(G13="atende",G13="parcial",G13="nao_atende"),OR(L13="atende",L13="parcial",L13="nao_atende")),1,0)</f>
        <v/>
      </c>
      <c r="R13" s="24">
        <f>IF(Q13=1,IF(G13=L13,1,0),"")</f>
        <v/>
      </c>
    </row>
    <row r="14">
      <c r="A14" s="20" t="inlineStr">
        <is>
          <t>Japeri</t>
        </is>
      </c>
      <c r="B14" s="20" t="n">
        <v>45</v>
      </c>
      <c r="C14" s="20" t="inlineStr">
        <is>
          <t>2026-10-17</t>
        </is>
      </c>
      <c r="D14" s="20" t="inlineStr">
        <is>
          <t>4.6</t>
        </is>
      </c>
      <c r="E14" s="21" t="inlineStr">
        <is>
          <t>Existência de informações atualizadas em relação aos critérios da despesa</t>
        </is>
      </c>
      <c r="F14" s="20" t="inlineStr">
        <is>
          <t>obrigatoria</t>
        </is>
      </c>
      <c r="G14" s="20" t="inlineStr">
        <is>
          <t>inconclusivo</t>
        </is>
      </c>
      <c r="H14" s="22" t="n">
        <v>0.35</v>
      </c>
      <c r="I14" s="21" t="inlineStr">
        <is>
          <t>Páginas de despesa sem datas legíveis no HTML (datas podem estar em consulta dinâmica).</t>
        </is>
      </c>
      <c r="J14" s="20" t="inlineStr">
        <is>
          <t>https://japeri.geosiap.net.br/portal-transparencia/api-docs#!/Execucao_-_Despesas_Detalhadas/get_execucao_despesas_detalhadas_empenhos</t>
        </is>
      </c>
      <c r="K14" s="21" t="inlineStr"/>
      <c r="L14" s="23" t="inlineStr">
        <is>
          <t>parcial</t>
        </is>
      </c>
      <c r="M14" s="23" t="inlineStr">
        <is>
          <t>https://japeri.geosiap.net.br/portal-transparencia/</t>
        </is>
      </c>
      <c r="N14" s="23" t="inlineStr">
        <is>
          <t>Conteúdo dinâmico (JavaScript)</t>
        </is>
      </c>
      <c r="O14" s="23" t="inlineStr">
        <is>
          <t>Portal indica dados atualizados em 17/10/2026; a data de cada registro de despesa não pôde ser conferida na consulta dinâmica.</t>
        </is>
      </c>
      <c r="P14" s="24">
        <f>IF(L14="","",IF(G14="inconclusivo","Inconclusivo",IF(L14="nao_aplicavel","Aplicabilidade",IF(L14="nao_verificavel","Não verificável",IF(G14=L14,"Concordância",IF(G14="nao_atende","Falso não atende",IF(G14="atende","Falso atende","Divergência de grau")))))))</f>
        <v/>
      </c>
      <c r="Q14" s="24">
        <f>IF(AND(OR(G14="atende",G14="parcial",G14="nao_atende"),OR(L14="atende",L14="parcial",L14="nao_atende")),1,0)</f>
        <v/>
      </c>
      <c r="R14" s="24">
        <f>IF(Q14=1,IF(G14=L14,1,0),"")</f>
        <v/>
      </c>
    </row>
    <row r="15">
      <c r="A15" s="20" t="inlineStr">
        <is>
          <t>Japeri</t>
        </is>
      </c>
      <c r="B15" s="20" t="n">
        <v>45</v>
      </c>
      <c r="C15" s="20" t="inlineStr">
        <is>
          <t>2026-10-17</t>
        </is>
      </c>
      <c r="D15" s="20" t="inlineStr">
        <is>
          <t>4.7</t>
        </is>
      </c>
      <c r="E15" s="21" t="inlineStr">
        <is>
          <t>Existência de histórico das informações em relação aos critérios da despesa</t>
        </is>
      </c>
      <c r="F15" s="20" t="inlineStr">
        <is>
          <t>obrigatoria</t>
        </is>
      </c>
      <c r="G15" s="20" t="inlineStr">
        <is>
          <t>inconclusivo</t>
        </is>
      </c>
      <c r="H15" s="22" t="n">
        <v>0.4</v>
      </c>
      <c r="I15" s="21" t="inlineStr">
        <is>
          <t>Seletor de exercício não identificado no HTML.</t>
        </is>
      </c>
      <c r="J15" s="20" t="inlineStr">
        <is>
          <t>https://japeri.geosiap.net.br/portal-transparencia/api-docs#!/Execucao_-_Despesas_Detalhadas/get_execucao_despesas_detalhadas_empenhos</t>
        </is>
      </c>
      <c r="K15" s="21" t="inlineStr"/>
      <c r="L15" s="23" t="inlineStr">
        <is>
          <t>atende</t>
        </is>
      </c>
      <c r="M15" s="23" t="inlineStr">
        <is>
          <t>https://japeri.geosiap.net.br/portal-transparencia/</t>
        </is>
      </c>
      <c r="N15" s="23" t="inlineStr">
        <is>
          <t>Crawler não chegou à página</t>
        </is>
      </c>
      <c r="O15" s="23" t="inlineStr">
        <is>
          <t>O menu apresenta despesas anteriores a 2018, bem como consultas do exercício. Histórico de despesas identificado.</t>
        </is>
      </c>
      <c r="P15" s="24">
        <f>IF(L15="","",IF(G15="inconclusivo","Inconclusivo",IF(L15="nao_aplicavel","Aplicabilidade",IF(L15="nao_verificavel","Não verificável",IF(G15=L15,"Concordância",IF(G15="nao_atende","Falso não atende",IF(G15="atende","Falso atende","Divergência de grau")))))))</f>
        <v/>
      </c>
      <c r="Q15" s="24">
        <f>IF(AND(OR(G15="atende",G15="parcial",G15="nao_atende"),OR(L15="atende",L15="parcial",L15="nao_atende")),1,0)</f>
        <v/>
      </c>
      <c r="R15" s="24">
        <f>IF(Q15=1,IF(G15=L15,1,0),"")</f>
        <v/>
      </c>
    </row>
    <row r="16">
      <c r="A16" s="20" t="inlineStr">
        <is>
          <t>Japeri</t>
        </is>
      </c>
      <c r="B16" s="20" t="n">
        <v>45</v>
      </c>
      <c r="C16" s="20" t="inlineStr">
        <is>
          <t>2026-10-17</t>
        </is>
      </c>
      <c r="D16" s="20" t="inlineStr">
        <is>
          <t>12.1</t>
        </is>
      </c>
      <c r="E16" s="21" t="inlineStr">
        <is>
          <t>Publica o Relatório de Gestão Fiscal (RGF)</t>
        </is>
      </c>
      <c r="F16" s="20" t="inlineStr">
        <is>
          <t>essencial</t>
        </is>
      </c>
      <c r="G16" s="20" t="inlineStr">
        <is>
          <t>parcial</t>
        </is>
      </c>
      <c r="H16" s="22" t="n">
        <v>0.5</v>
      </c>
      <c r="I16" s="21" t="inlineStr">
        <is>
          <t>Relatório de Gestão Fiscal citado no portal (item de menu ou texto), sem link navegável nem arquivo alcançado: provável consulta dinâmica.</t>
        </is>
      </c>
      <c r="J16" s="20" t="inlineStr">
        <is>
          <t>https://japeri.geosiap.net.br/portal-transparencia</t>
        </is>
      </c>
      <c r="K16" s="21" t="inlineStr">
        <is>
          <t>mentária Anual launch RREO - Relatório Resumido da Execução Orçamentária launch RGF - Relatório de Gestão Fiscal launch Obras - Data de Início, Etapas, Percentual,</t>
        </is>
      </c>
      <c r="L16" s="23" t="inlineStr">
        <is>
          <t>parcial</t>
        </is>
      </c>
      <c r="M16" s="23" t="inlineStr">
        <is>
          <t>https://japeri.geosiap.net.br/portal-transparencia/publicacoes</t>
        </is>
      </c>
      <c r="N16" s="23" t="inlineStr">
        <is>
          <t>Crawler não chegou à página</t>
        </is>
      </c>
      <c r="O16" s="23" t="inlineStr">
        <is>
          <t>O menu do portal oferece RGF, mas não foi possível verificar o conteúdo e a abrangência dos arquivos na consulta dinâmica.</t>
        </is>
      </c>
      <c r="P16" s="24">
        <f>IF(L16="","",IF(G16="inconclusivo","Inconclusivo",IF(L16="nao_aplicavel","Aplicabilidade",IF(L16="nao_verificavel","Não verificável",IF(G16=L16,"Concordância",IF(G16="nao_atende","Falso não atende",IF(G16="atende","Falso atende","Divergência de grau")))))))</f>
        <v/>
      </c>
      <c r="Q16" s="24">
        <f>IF(AND(OR(G16="atende",G16="parcial",G16="nao_atende"),OR(L16="atende",L16="parcial",L16="nao_atende")),1,0)</f>
        <v/>
      </c>
      <c r="R16" s="24">
        <f>IF(Q16=1,IF(G16=L16,1,0),"")</f>
        <v/>
      </c>
    </row>
    <row r="17">
      <c r="A17" s="20" t="inlineStr">
        <is>
          <t>Japeri</t>
        </is>
      </c>
      <c r="B17" s="20" t="n">
        <v>45</v>
      </c>
      <c r="C17" s="20" t="inlineStr">
        <is>
          <t>2026-10-17</t>
        </is>
      </c>
      <c r="D17" s="20" t="inlineStr">
        <is>
          <t>15.1</t>
        </is>
      </c>
      <c r="E17" s="21" t="inlineStr">
        <is>
          <t>Há possibilidade de envio de pedidos de informação de forma eletrônica (e­SIC)</t>
        </is>
      </c>
      <c r="F17" s="20" t="inlineStr">
        <is>
          <t>essencial</t>
        </is>
      </c>
      <c r="G17" s="20" t="inlineStr">
        <is>
          <t>inconclusivo</t>
        </is>
      </c>
      <c r="H17" s="22" t="n">
        <v>0.4</v>
      </c>
      <c r="I17" s="21" t="inlineStr">
        <is>
          <t>Não encontrado: Acesso ao e-SIC, mas o limite de páginas acabou com 7 link(s) de sic ainda não visitados. Ausência não pode ser afirmada (aumentar max_paginas para a entidade).</t>
        </is>
      </c>
      <c r="J17" s="20" t="inlineStr">
        <is>
          <t>https://japeri.rj.gov.br/</t>
        </is>
      </c>
      <c r="K17" s="21" t="inlineStr"/>
      <c r="L17" s="23" t="inlineStr">
        <is>
          <t>atende</t>
        </is>
      </c>
      <c r="M17" s="23" t="inlineStr">
        <is>
          <t>https://japeri.rj.gov.br/service/sic-presencial/</t>
        </is>
      </c>
      <c r="N17" s="23" t="inlineStr">
        <is>
          <t>Crawler não chegou à página</t>
        </is>
      </c>
      <c r="O17" s="23" t="inlineStr">
        <is>
          <t>A página oficial leva ao Fala.BR para manifestações eletrônicas; também há acesso ao SIC no portal de transparência. Envio não realizado.</t>
        </is>
      </c>
      <c r="P17" s="24">
        <f>IF(L17="","",IF(G17="inconclusivo","Inconclusivo",IF(L17="nao_aplicavel","Aplicabilidade",IF(L17="nao_verificavel","Não verificável",IF(G17=L17,"Concordância",IF(G17="nao_atende","Falso não atende",IF(G17="atende","Falso atende","Divergência de grau")))))))</f>
        <v/>
      </c>
      <c r="Q17" s="24">
        <f>IF(AND(OR(G17="atende",G17="parcial",G17="nao_atende"),OR(L17="atende",L17="parcial",L17="nao_atende")),1,0)</f>
        <v/>
      </c>
      <c r="R17" s="24">
        <f>IF(Q17=1,IF(G17=L17,1,0),"")</f>
        <v/>
      </c>
    </row>
    <row r="18">
      <c r="A18" s="20" t="inlineStr">
        <is>
          <t>Japeri</t>
        </is>
      </c>
      <c r="B18" s="20" t="n">
        <v>45</v>
      </c>
      <c r="C18" s="20" t="inlineStr">
        <is>
          <t>2026-10-17</t>
        </is>
      </c>
      <c r="D18" s="20" t="inlineStr">
        <is>
          <t>15.2</t>
        </is>
      </c>
      <c r="E18" s="21" t="inlineStr">
        <is>
          <t>A solicitação por meio do e­SIC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      </is>
      </c>
      <c r="F18" s="20" t="inlineStr">
        <is>
          <t>obrigatoria</t>
        </is>
      </c>
      <c r="G18" s="20" t="inlineStr">
        <is>
          <t>inconclusivo</t>
        </is>
      </c>
      <c r="H18" s="22" t="n">
        <v>0.35</v>
      </c>
      <c r="I18" s="21" t="inlineStr">
        <is>
          <t>Formulário do e-SIC não acessível ao robô (sistema externo ou login). Exigências precisam de leitura do texto.</t>
        </is>
      </c>
      <c r="J18" s="20" t="inlineStr">
        <is>
          <t>https://japeri.rj.gov.br/service/acesso-a-informacao/</t>
        </is>
      </c>
      <c r="K18" s="21" t="inlineStr"/>
      <c r="L18" s="23" t="inlineStr">
        <is>
          <t>nao_verificavel</t>
        </is>
      </c>
      <c r="M18" s="23" t="inlineStr">
        <is>
          <t>https://japeri.geosiap.net.br/pmjaperi/websis/portal_transparencia/sic/formulario.php?c=1792241802</t>
        </is>
      </c>
      <c r="N18" s="23" t="n"/>
      <c r="O18" s="23" t="n"/>
      <c r="P18" s="24">
        <f>IF(L18="","",IF(G18="inconclusivo","Inconclusivo",IF(L18="nao_aplicavel","Aplicabilidade",IF(L18="nao_verificavel","Não verificável",IF(G18=L18,"Concordância",IF(G18="nao_atende","Falso não atende",IF(G18="atende","Falso atende","Divergência de grau")))))))</f>
        <v/>
      </c>
      <c r="Q18" s="24">
        <f>IF(AND(OR(G18="atende",G18="parcial",G18="nao_atende"),OR(L18="atende",L18="parcial",L18="nao_atende")),1,0)</f>
        <v/>
      </c>
      <c r="R18" s="24">
        <f>IF(Q18=1,IF(G18=L18,1,0),"")</f>
        <v/>
      </c>
    </row>
    <row r="19">
      <c r="A19" s="20" t="inlineStr">
        <is>
          <t>Japeri</t>
        </is>
      </c>
      <c r="B19" s="20" t="n">
        <v>45</v>
      </c>
      <c r="C19" s="20" t="inlineStr">
        <is>
          <t>2026-10-17</t>
        </is>
      </c>
      <c r="D19" s="20" t="inlineStr">
        <is>
          <t>15.4</t>
        </is>
      </c>
      <c r="E19" s="21" t="inlineStr">
        <is>
          <t>Divulga, na seção relativa ao e-SIC, os prazos de resposta ao cidadão, incluindo o recursal, e as autoridades competentes para o exame dos pedidos, além do procedimento referente à realização do pedido e de eventual recurso?</t>
        </is>
      </c>
      <c r="F19" s="20" t="inlineStr">
        <is>
          <t>obrigatoria</t>
        </is>
      </c>
      <c r="G19" s="20" t="inlineStr">
        <is>
          <t>inconclusivo</t>
        </is>
      </c>
      <c r="H19" s="22" t="n">
        <v>0.4</v>
      </c>
      <c r="I19" s="21" t="inlineStr">
        <is>
          <t>Não encontrado: Prazos e procedimento do e-SIC, mas o limite de páginas acabou com 7 link(s) de sic ainda não visitados. Ausência não pode ser afirmada (aumentar max_paginas para a entidade).</t>
        </is>
      </c>
      <c r="J19" s="20" t="inlineStr">
        <is>
          <t>https://japeri.rj.gov.br/service/acesso-a-informacao/</t>
        </is>
      </c>
      <c r="K19" s="21" t="inlineStr"/>
      <c r="L19" s="23" t="inlineStr">
        <is>
          <t>parcial</t>
        </is>
      </c>
      <c r="M19" s="23" t="inlineStr">
        <is>
          <t>https://siapegov.japeri.rj.gov.br/pmjaperi/websis/portal_transparencia/sic/perguntas.php?c=1624608557&amp;id=1</t>
        </is>
      </c>
      <c r="N19" s="23" t="inlineStr">
        <is>
          <t>Crawler não chegou à página</t>
        </is>
      </c>
      <c r="O19" s="23" t="inlineStr">
        <is>
          <t>FAQ do SIC inclui prazo de resposta; não foi possível confirmar no mesmo fluxo todas as autoridades e etapas recursais exigidas.</t>
        </is>
      </c>
      <c r="P19" s="24">
        <f>IF(L19="","",IF(G19="inconclusivo","Inconclusivo",IF(L19="nao_aplicavel","Aplicabilidade",IF(L19="nao_verificavel","Não verificável",IF(G19=L19,"Concordância",IF(G19="nao_atende","Falso não atende",IF(G19="atende","Falso atende","Divergência de grau")))))))</f>
        <v/>
      </c>
      <c r="Q19" s="24">
        <f>IF(AND(OR(G19="atende",G19="parcial",G19="nao_atende"),OR(L19="atende",L19="parcial",L19="nao_atende")),1,0)</f>
        <v/>
      </c>
      <c r="R19" s="24">
        <f>IF(Q19=1,IF(G19=L19,1,0),"")</f>
        <v/>
      </c>
    </row>
    <row r="20">
      <c r="A20" s="20" t="inlineStr">
        <is>
          <t>Japeri</t>
        </is>
      </c>
      <c r="B20" s="20" t="n">
        <v>45</v>
      </c>
      <c r="C20" s="20" t="inlineStr">
        <is>
          <t>2026-10-17</t>
        </is>
      </c>
      <c r="D20" s="20" t="inlineStr">
        <is>
          <t>16.1</t>
        </is>
      </c>
      <c r="E20" s="21" t="inlineStr">
        <is>
          <t>Exibição do “caminho” de páginas percorridas pelo usuário</t>
        </is>
      </c>
      <c r="F20" s="20" t="inlineStr">
        <is>
          <t>obrigatoria</t>
        </is>
      </c>
      <c r="G20" s="20" t="inlineStr">
        <is>
          <t>nao_atende</t>
        </is>
      </c>
      <c r="H20" s="22" t="n">
        <v>0.65</v>
      </c>
      <c r="I20" s="21" t="inlineStr">
        <is>
          <t>Não encontrado: Trilha de navegação. Foram examinadas 80 páginas (temas cobertos: contrato, dados_abertos, despesa, diarias, institucional, licitacao, obras, ouvidoria, pessoal, receita, sic, transparencia).</t>
        </is>
      </c>
      <c r="J20" s="20" t="inlineStr">
        <is>
          <t>https://japeri.geosiap.net.br/pmjaperi/websis/siapegov/administrativo/aten/aten_valida.php</t>
        </is>
      </c>
      <c r="K20" s="21" t="inlineStr"/>
      <c r="L20" s="23" t="inlineStr">
        <is>
          <t>atende</t>
        </is>
      </c>
      <c r="M20" s="23" t="inlineStr">
        <is>
          <t>https://japeri.geosiap.net.br/portal-transparencia/covid-19/despesas</t>
        </is>
      </c>
      <c r="N20" s="23" t="inlineStr">
        <is>
          <t>Regra: falso indício</t>
        </is>
      </c>
      <c r="O20" s="23" t="inlineStr">
        <is>
          <t>Página interna do portal exibe trilha «Painel COVID-19 » Despesas Realizadas».</t>
        </is>
      </c>
      <c r="P20" s="24">
        <f>IF(L20="","",IF(G20="inconclusivo","Inconclusivo",IF(L20="nao_aplicavel","Aplicabilidade",IF(L20="nao_verificavel","Não verificável",IF(G20=L20,"Concordância",IF(G20="nao_atende","Falso não atende",IF(G20="atende","Falso atende","Divergência de grau")))))))</f>
        <v/>
      </c>
      <c r="Q20" s="24">
        <f>IF(AND(OR(G20="atende",G20="parcial",G20="nao_atende"),OR(L20="atende",L20="parcial",L20="nao_atende")),1,0)</f>
        <v/>
      </c>
      <c r="R20" s="24">
        <f>IF(Q20=1,IF(G20=L20,1,0),"")</f>
        <v/>
      </c>
    </row>
    <row r="21">
      <c r="A21" s="20" t="inlineStr">
        <is>
          <t>Japeri</t>
        </is>
      </c>
      <c r="B21" s="20" t="n">
        <v>45</v>
      </c>
      <c r="C21" s="20" t="inlineStr">
        <is>
          <t>2026-10-17</t>
        </is>
      </c>
      <c r="D21" s="20" t="inlineStr">
        <is>
          <t>16.2</t>
        </is>
      </c>
      <c r="E21" s="21" t="inlineStr">
        <is>
          <t>Opção de alto contraste</t>
        </is>
      </c>
      <c r="F21" s="20" t="inlineStr">
        <is>
          <t>obrigatoria</t>
        </is>
      </c>
      <c r="G21" s="20" t="inlineStr">
        <is>
          <t>parcial</t>
        </is>
      </c>
      <c r="H21" s="22" t="n">
        <v>0.7</v>
      </c>
      <c r="I21" s="21" t="inlineStr">
        <is>
          <t>Controle de alto contraste encontrado em 1 de 2 página(s) inicial(is) (sítio/portal).</t>
        </is>
      </c>
      <c r="J21" s="20" t="inlineStr">
        <is>
          <t>https://japeri.geosiap.net.br/portal-transparencia</t>
        </is>
      </c>
      <c r="K21" s="21" t="inlineStr">
        <is>
          <t>Alto Contraste [['linkAcessibilidade']]</t>
        </is>
      </c>
      <c r="L21" s="23" t="inlineStr">
        <is>
          <t>parcial</t>
        </is>
      </c>
      <c r="M21" s="23" t="inlineStr">
        <is>
          <t>https://japeri.geosiap.net.br/portal-transparencia/</t>
        </is>
      </c>
      <c r="N21" s="23" t="n"/>
      <c r="O21" s="23" t="n"/>
      <c r="P21" s="24">
        <f>IF(L21="","",IF(G21="inconclusivo","Inconclusivo",IF(L21="nao_aplicavel","Aplicabilidade",IF(L21="nao_verificavel","Não verificável",IF(G21=L21,"Concordância",IF(G21="nao_atende","Falso não atende",IF(G21="atende","Falso atende","Divergência de grau")))))))</f>
        <v/>
      </c>
      <c r="Q21" s="24">
        <f>IF(AND(OR(G21="atende",G21="parcial",G21="nao_atende"),OR(L21="atende",L21="parcial",L21="nao_atende")),1,0)</f>
        <v/>
      </c>
      <c r="R21" s="24">
        <f>IF(Q21=1,IF(G21=L21,1,0),"")</f>
        <v/>
      </c>
    </row>
    <row r="22">
      <c r="A22" s="20" t="inlineStr">
        <is>
          <t>Japeri</t>
        </is>
      </c>
      <c r="B22" s="20" t="n">
        <v>45</v>
      </c>
      <c r="C22" s="20" t="inlineStr">
        <is>
          <t>2026-10-17</t>
        </is>
      </c>
      <c r="D22" s="20" t="inlineStr">
        <is>
          <t>16.3</t>
        </is>
      </c>
      <c r="E22" s="21" t="inlineStr">
        <is>
          <t>Ferramenta de redimensionamento de texto</t>
        </is>
      </c>
      <c r="F22" s="20" t="inlineStr">
        <is>
          <t>obrigatoria</t>
        </is>
      </c>
      <c r="G22" s="20" t="inlineStr">
        <is>
          <t>parcial</t>
        </is>
      </c>
      <c r="H22" s="22" t="n">
        <v>0.7</v>
      </c>
      <c r="I22" s="21" t="inlineStr">
        <is>
          <t>Redimensionamento de texto encontrado em 1 de 2 página(s) inicial(is) (sítio/portal).</t>
        </is>
      </c>
      <c r="J22" s="20" t="inlineStr">
        <is>
          <t>https://japeri.geosiap.net.br/portal-transparencia</t>
        </is>
      </c>
      <c r="K22" s="21" t="inlineStr">
        <is>
          <t>A- [['linkAcessibilidade']]</t>
        </is>
      </c>
      <c r="L22" s="23" t="inlineStr">
        <is>
          <t>parcial</t>
        </is>
      </c>
      <c r="M22" s="23" t="inlineStr">
        <is>
          <t>https://japeri.geosiap.net.br/portal-transparencia/</t>
        </is>
      </c>
      <c r="N22" s="23" t="n"/>
      <c r="O22" s="23" t="n"/>
      <c r="P22" s="24">
        <f>IF(L22="","",IF(G22="inconclusivo","Inconclusivo",IF(L22="nao_aplicavel","Aplicabilidade",IF(L22="nao_verificavel","Não verificável",IF(G22=L22,"Concordância",IF(G22="nao_atende","Falso não atende",IF(G22="atende","Falso atende","Divergência de grau")))))))</f>
        <v/>
      </c>
      <c r="Q22" s="24">
        <f>IF(AND(OR(G22="atende",G22="parcial",G22="nao_atende"),OR(L22="atende",L22="parcial",L22="nao_atende")),1,0)</f>
        <v/>
      </c>
      <c r="R22" s="24">
        <f>IF(Q22=1,IF(G22=L22,1,0),"")</f>
        <v/>
      </c>
    </row>
    <row r="23">
      <c r="A23" s="20" t="inlineStr">
        <is>
          <t>Japeri</t>
        </is>
      </c>
      <c r="B23" s="20" t="n">
        <v>45</v>
      </c>
      <c r="C23" s="20" t="inlineStr">
        <is>
          <t>2026-10-17</t>
        </is>
      </c>
      <c r="D23" s="20" t="inlineStr">
        <is>
          <t>18.1</t>
        </is>
      </c>
      <c r="E23" s="21" t="inlineStr">
        <is>
          <t>Identifica o encarregado/responsável pelo tratamento de dados pessoais e disponibiliza Canal de Comunicação (telefone e/ou e-mail)</t>
        </is>
      </c>
      <c r="F23" s="20" t="inlineStr">
        <is>
          <t>recomendada</t>
        </is>
      </c>
      <c r="G23" s="20" t="inlineStr">
        <is>
          <t>inconclusivo</t>
        </is>
      </c>
      <c r="H23" s="22" t="n">
        <v>0.4</v>
      </c>
      <c r="I23" s="21" t="inlineStr">
        <is>
          <t>Não encontrado: Identificação do encarregado (LGPD), mas o limite de páginas acabou com 1 link(s) de lgpd ainda não visitados. Ausência não pode ser afirmada (aumentar max_paginas para a entidade).</t>
        </is>
      </c>
      <c r="J23" s="20" t="inlineStr">
        <is>
          <t>https://japeri.rj.gov.br/</t>
        </is>
      </c>
      <c r="K23" s="21" t="inlineStr"/>
      <c r="L23" s="23" t="inlineStr">
        <is>
          <t>nao_verificavel</t>
        </is>
      </c>
      <c r="M23" s="23" t="inlineStr">
        <is>
          <t>https://japeri.geosiap.net.br/portal-transparencia/</t>
        </is>
      </c>
      <c r="N23" s="23" t="n"/>
      <c r="O23" s="23" t="n"/>
      <c r="P23" s="24">
        <f>IF(L23="","",IF(G23="inconclusivo","Inconclusivo",IF(L23="nao_aplicavel","Aplicabilidade",IF(L23="nao_verificavel","Não verificável",IF(G23=L23,"Concordância",IF(G23="nao_atende","Falso não atende",IF(G23="atende","Falso atende","Divergência de grau")))))))</f>
        <v/>
      </c>
      <c r="Q23" s="24">
        <f>IF(AND(OR(G23="atende",G23="parcial",G23="nao_atende"),OR(L23="atende",L23="parcial",L23="nao_atende")),1,0)</f>
        <v/>
      </c>
      <c r="R23" s="24">
        <f>IF(Q23=1,IF(G23=L23,1,0),"")</f>
        <v/>
      </c>
    </row>
    <row r="24">
      <c r="A24" s="20" t="inlineStr">
        <is>
          <t>Japeri</t>
        </is>
      </c>
      <c r="B24" s="20" t="n">
        <v>45</v>
      </c>
      <c r="C24" s="20" t="inlineStr">
        <is>
          <t>2026-10-17</t>
        </is>
      </c>
      <c r="D24" s="20" t="inlineStr">
        <is>
          <t>18.3</t>
        </is>
      </c>
      <c r="E24" s="21" t="inlineStr">
        <is>
          <t>Possibilita o acesso automatizado por sistemas externos em dados abertos (estruturados e legíveis por máquina), e a página contém as regras de utilização</t>
        </is>
      </c>
      <c r="F24" s="20" t="inlineStr">
        <is>
          <t>recomendada</t>
        </is>
      </c>
      <c r="G24" s="20" t="inlineStr">
        <is>
          <t>parcial</t>
        </is>
      </c>
      <c r="H24" s="22" t="n">
        <v>0.7</v>
      </c>
      <c r="I24" s="21" t="inlineStr">
        <is>
          <t>Há dados legíveis por máquina, mas não foram localizadas as regras de utilização.</t>
        </is>
      </c>
      <c r="J24" s="20" t="inlineStr">
        <is>
          <t>https://online.swagger.io/validator/debug?url=https://japeri.geosiap.net.br/portal-transparencia/api-docs/v1/swagger.json</t>
        </is>
      </c>
      <c r="K24" s="21" t="inlineStr"/>
      <c r="L24" s="23" t="inlineStr">
        <is>
          <t>parcial</t>
        </is>
      </c>
      <c r="M24" s="23" t="inlineStr">
        <is>
          <t>https://japeri.geosiap.net.br/portal-transparencia/</t>
        </is>
      </c>
      <c r="N24" s="23" t="n"/>
      <c r="O24" s="23" t="n"/>
      <c r="P24" s="24">
        <f>IF(L24="","",IF(G24="inconclusivo","Inconclusivo",IF(L24="nao_aplicavel","Aplicabilidade",IF(L24="nao_verificavel","Não verificável",IF(G24=L24,"Concordância",IF(G24="nao_atende","Falso não atende",IF(G24="atende","Falso atende","Divergência de grau")))))))</f>
        <v/>
      </c>
      <c r="Q24" s="24">
        <f>IF(AND(OR(G24="atende",G24="parcial",G24="nao_atende"),OR(L24="atende",L24="parcial",L24="nao_atende")),1,0)</f>
        <v/>
      </c>
      <c r="R24" s="24">
        <f>IF(Q24=1,IF(G24=L24,1,0),"")</f>
        <v/>
      </c>
    </row>
    <row r="25">
      <c r="A25" s="20" t="inlineStr">
        <is>
          <t>Japeri</t>
        </is>
      </c>
      <c r="B25" s="20" t="n">
        <v>45</v>
      </c>
      <c r="C25" s="20" t="inlineStr">
        <is>
          <t>2026-10-17</t>
        </is>
      </c>
      <c r="D25" s="20" t="inlineStr">
        <is>
          <t>19.1</t>
        </is>
      </c>
      <c r="E25" s="21" t="inlineStr">
        <is>
          <t>Existência de PPA (Lei do Plano Plurianual)</t>
        </is>
      </c>
      <c r="F25" s="20" t="inlineStr">
        <is>
          <t>essencial</t>
        </is>
      </c>
      <c r="G25" s="20" t="inlineStr">
        <is>
          <t>parcial</t>
        </is>
      </c>
      <c r="H25" s="22" t="n">
        <v>0.5</v>
      </c>
      <c r="I25" s="21" t="inlineStr">
        <is>
          <t>PPA citado no portal (item de menu ou texto), sem link navegável nem arquivo alcançado: provável consulta dinâmica.</t>
        </is>
      </c>
      <c r="J25" s="20" t="inlineStr">
        <is>
          <t>https://japeri.geosiap.net.br/portal-transparencia</t>
        </is>
      </c>
      <c r="K25" s="21" t="inlineStr">
        <is>
          <t>Parecer do Tribunal de Contas launch Relatório Circunstanciado de Gestão launch PPA - Planejamento Plurianual launch LDO - Lei de Diretrizes Orçamentárias launch L</t>
        </is>
      </c>
      <c r="L25" s="23" t="inlineStr">
        <is>
          <t>parcial</t>
        </is>
      </c>
      <c r="M25" s="23" t="inlineStr">
        <is>
          <t>https://japeri.geosiap.net.br/portal-transparencia/publicacoes</t>
        </is>
      </c>
      <c r="N25" s="23" t="inlineStr">
        <is>
          <t>Crawler não chegou à página</t>
        </is>
      </c>
      <c r="O25" s="23" t="inlineStr">
        <is>
          <t>O menu contém PPA - Planejamento Plurianual; a consulta de arquivos não pôde ser concluída.</t>
        </is>
      </c>
      <c r="P25" s="24">
        <f>IF(L25="","",IF(G25="inconclusivo","Inconclusivo",IF(L25="nao_aplicavel","Aplicabilidade",IF(L25="nao_verificavel","Não verificável",IF(G25=L25,"Concordância",IF(G25="nao_atende","Falso não atende",IF(G25="atende","Falso atende","Divergência de grau")))))))</f>
        <v/>
      </c>
      <c r="Q25" s="24">
        <f>IF(AND(OR(G25="atende",G25="parcial",G25="nao_atende"),OR(L25="atende",L25="parcial",L25="nao_atende")),1,0)</f>
        <v/>
      </c>
      <c r="R25" s="24">
        <f>IF(Q25=1,IF(G25=L25,1,0),"")</f>
        <v/>
      </c>
    </row>
    <row r="26">
      <c r="A26" s="20" t="inlineStr">
        <is>
          <t>Japeri</t>
        </is>
      </c>
      <c r="B26" s="20" t="n">
        <v>45</v>
      </c>
      <c r="C26" s="20" t="inlineStr">
        <is>
          <t>2026-10-17</t>
        </is>
      </c>
      <c r="D26" s="20" t="inlineStr">
        <is>
          <t>19.3</t>
        </is>
      </c>
      <c r="E26" s="21" t="inlineStr">
        <is>
          <t>Existência de LDO (Lei do Diretrizes Orçamentárias)</t>
        </is>
      </c>
      <c r="F26" s="20" t="inlineStr">
        <is>
          <t>essencial</t>
        </is>
      </c>
      <c r="G26" s="20" t="inlineStr">
        <is>
          <t>parcial</t>
        </is>
      </c>
      <c r="H26" s="22" t="n">
        <v>0.5</v>
      </c>
      <c r="I26" s="21" t="inlineStr">
        <is>
          <t>LDO citado no portal (item de menu ou texto), sem link navegável nem arquivo alcançado: provável consulta dinâmica.</t>
        </is>
      </c>
      <c r="J26" s="20" t="inlineStr">
        <is>
          <t>https://japeri.geosiap.net.br/portal-transparencia</t>
        </is>
      </c>
      <c r="K26" s="21" t="inlineStr">
        <is>
          <t>Relatório Circunstanciado de Gestão launch PPA - Planejamento Plurianual launch LDO - Lei de Diretrizes Orçamentárias launch LOA - Lei Orçamentária Anual launch RR</t>
        </is>
      </c>
      <c r="L26" s="23" t="inlineStr">
        <is>
          <t>parcial</t>
        </is>
      </c>
      <c r="M26" s="23" t="inlineStr">
        <is>
          <t>https://japeri.geosiap.net.br/portal-transparencia/publicacoes</t>
        </is>
      </c>
      <c r="N26" s="23" t="inlineStr">
        <is>
          <t>Crawler não chegou à página</t>
        </is>
      </c>
      <c r="O26" s="23" t="inlineStr">
        <is>
          <t>O menu contém LDO - Lei de Diretrizes Orçamentárias; a consulta de arquivos não pôde ser concluída.</t>
        </is>
      </c>
      <c r="P26" s="24">
        <f>IF(L26="","",IF(G26="inconclusivo","Inconclusivo",IF(L26="nao_aplicavel","Aplicabilidade",IF(L26="nao_verificavel","Não verificável",IF(G26=L26,"Concordância",IF(G26="nao_atende","Falso não atende",IF(G26="atende","Falso atende","Divergência de grau")))))))</f>
        <v/>
      </c>
      <c r="Q26" s="24">
        <f>IF(AND(OR(G26="atende",G26="parcial",G26="nao_atende"),OR(L26="atende",L26="parcial",L26="nao_atende")),1,0)</f>
        <v/>
      </c>
      <c r="R26" s="24">
        <f>IF(Q26=1,IF(G26=L26,1,0),"")</f>
        <v/>
      </c>
    </row>
    <row r="27">
      <c r="A27" s="20" t="inlineStr">
        <is>
          <t>Japeri</t>
        </is>
      </c>
      <c r="B27" s="20" t="n">
        <v>45</v>
      </c>
      <c r="C27" s="20" t="inlineStr">
        <is>
          <t>2026-10-17</t>
        </is>
      </c>
      <c r="D27" s="20" t="inlineStr">
        <is>
          <t>19.5</t>
        </is>
      </c>
      <c r="E27" s="21" t="inlineStr">
        <is>
          <t>Existência de LOA (Lei Orçamentária)</t>
        </is>
      </c>
      <c r="F27" s="20" t="inlineStr">
        <is>
          <t>essencial</t>
        </is>
      </c>
      <c r="G27" s="20" t="inlineStr">
        <is>
          <t>parcial</t>
        </is>
      </c>
      <c r="H27" s="22" t="n">
        <v>0.5</v>
      </c>
      <c r="I27" s="21" t="inlineStr">
        <is>
          <t>LOA citado no portal (item de menu ou texto), sem link navegável nem arquivo alcançado: provável consulta dinâmica.</t>
        </is>
      </c>
      <c r="J27" s="20" t="inlineStr">
        <is>
          <t>https://japeri.geosiap.net.br/portal-transparencia</t>
        </is>
      </c>
      <c r="K27" s="21" t="inlineStr">
        <is>
          <t>A - Planejamento Plurianual launch LDO - Lei de Diretrizes Orçamentárias launch LOA - Lei Orçamentária Anual launch RREO - Relatório Resumido da Execução Orçamentá</t>
        </is>
      </c>
      <c r="L27" s="23" t="inlineStr">
        <is>
          <t>parcial</t>
        </is>
      </c>
      <c r="M27" s="23" t="inlineStr">
        <is>
          <t>https://japeri.geosiap.net.br/portal-transparencia/publicacoes</t>
        </is>
      </c>
      <c r="N27" s="23" t="inlineStr">
        <is>
          <t>Crawler não chegou à página</t>
        </is>
      </c>
      <c r="O27" s="23" t="inlineStr">
        <is>
          <t>O menu contém LOA - Lei Orçamentária Anual; a consulta de arquivos não pôde ser concluída.</t>
        </is>
      </c>
      <c r="P27" s="24">
        <f>IF(L27="","",IF(G27="inconclusivo","Inconclusivo",IF(L27="nao_aplicavel","Aplicabilidade",IF(L27="nao_verificavel","Não verificável",IF(G27=L27,"Concordância",IF(G27="nao_atende","Falso não atende",IF(G27="atende","Falso atende","Divergência de grau")))))))</f>
        <v/>
      </c>
      <c r="Q27" s="24">
        <f>IF(AND(OR(G27="atende",G27="parcial",G27="nao_atende"),OR(L27="atende",L27="parcial",L27="nao_atende")),1,0)</f>
        <v/>
      </c>
      <c r="R27" s="24">
        <f>IF(Q27=1,IF(G27=L27,1,0),"")</f>
        <v/>
      </c>
    </row>
    <row r="28">
      <c r="A28" s="20" t="inlineStr">
        <is>
          <t>Japeri</t>
        </is>
      </c>
      <c r="B28" s="20" t="n">
        <v>45</v>
      </c>
      <c r="C28" s="20" t="inlineStr">
        <is>
          <t>2026-10-17</t>
        </is>
      </c>
      <c r="D28" s="20" t="inlineStr">
        <is>
          <t>20.1</t>
        </is>
      </c>
      <c r="E28" s="21" t="inlineStr">
        <is>
          <t>Relatório Resumido da Execução Orçamentária (RREO)</t>
        </is>
      </c>
      <c r="F28" s="20" t="inlineStr">
        <is>
          <t>essencial</t>
        </is>
      </c>
      <c r="G28" s="20" t="inlineStr">
        <is>
          <t>parcial</t>
        </is>
      </c>
      <c r="H28" s="22" t="n">
        <v>0.5</v>
      </c>
      <c r="I28" s="21" t="inlineStr">
        <is>
          <t>RREO citado no portal (item de menu ou texto), sem link navegável nem arquivo alcançado: provável consulta dinâmica.</t>
        </is>
      </c>
      <c r="J28" s="20" t="inlineStr">
        <is>
          <t>https://japeri.geosiap.net.br/portal-transparencia</t>
        </is>
      </c>
      <c r="K28" s="21" t="inlineStr">
        <is>
          <t>DO - Lei de Diretrizes Orçamentárias launch LOA - Lei Orçamentária Anual launch RREO - Relatório Resumido da Execução Orçamentária launch RGF - Relatório de Gestão</t>
        </is>
      </c>
      <c r="L28" s="23" t="inlineStr">
        <is>
          <t>parcial</t>
        </is>
      </c>
      <c r="M28" s="23" t="inlineStr">
        <is>
          <t>https://japeri.geosiap.net.br/portal-transparencia/publicacoes</t>
        </is>
      </c>
      <c r="N28" s="23" t="inlineStr">
        <is>
          <t>Crawler não chegou à página</t>
        </is>
      </c>
      <c r="O28" s="23" t="inlineStr">
        <is>
          <t>O menu contém RREO - Relatório Resumido da Execução Orçamentária; a consulta de arquivos não pôde ser concluída.</t>
        </is>
      </c>
      <c r="P28" s="24">
        <f>IF(L28="","",IF(G28="inconclusivo","Inconclusivo",IF(L28="nao_aplicavel","Aplicabilidade",IF(L28="nao_verificavel","Não verificável",IF(G28=L28,"Concordância",IF(G28="nao_atende","Falso não atende",IF(G28="atende","Falso atende","Divergência de grau")))))))</f>
        <v/>
      </c>
      <c r="Q28" s="24">
        <f>IF(AND(OR(G28="atende",G28="parcial",G28="nao_atende"),OR(L28="atende",L28="parcial",L28="nao_atende")),1,0)</f>
        <v/>
      </c>
      <c r="R28" s="24">
        <f>IF(Q28=1,IF(G28=L28,1,0),"")</f>
        <v/>
      </c>
    </row>
    <row r="29">
      <c r="A29" s="20" t="inlineStr">
        <is>
          <t>Rio de Janeiro</t>
        </is>
      </c>
      <c r="B29" s="20" t="n">
        <v>44</v>
      </c>
      <c r="C29" s="20" t="inlineStr">
        <is>
          <t>2026-10-17</t>
        </is>
      </c>
      <c r="D29" s="20" t="inlineStr">
        <is>
          <t>1.1</t>
        </is>
      </c>
      <c r="E29" s="21" t="inlineStr">
        <is>
          <t>A entidade pública possui sítio oficial e/ou portal da transparência próprio ou compartilhado na internet?</t>
        </is>
      </c>
      <c r="F29" s="20" t="inlineStr">
        <is>
          <t>essencial</t>
        </is>
      </c>
      <c r="G29" s="20" t="inlineStr">
        <is>
          <t>atende</t>
        </is>
      </c>
      <c r="H29" s="22" t="n">
        <v>0.95</v>
      </c>
      <c r="I29" s="21" t="inlineStr">
        <is>
          <t>Sítio oficial e portal da transparência responderam (HTTP 200).</t>
        </is>
      </c>
      <c r="J29" s="20" t="inlineStr">
        <is>
          <t>https://prefeitura.rio/</t>
        </is>
      </c>
      <c r="K29" s="21" t="inlineStr">
        <is>
          <t>HTTP 200</t>
        </is>
      </c>
      <c r="L29" s="23" t="inlineStr">
        <is>
          <t>atende</t>
        </is>
      </c>
      <c r="M29" s="23" t="inlineStr">
        <is>
          <t>https://prefeitura.rio/</t>
        </is>
      </c>
      <c r="N29" s="23" t="n"/>
      <c r="O29" s="23" t="n"/>
      <c r="P29" s="24">
        <f>IF(L29="","",IF(G29="inconclusivo","Inconclusivo",IF(L29="nao_aplicavel","Aplicabilidade",IF(L29="nao_verificavel","Não verificável",IF(G29=L29,"Concordância",IF(G29="nao_atende","Falso não atende",IF(G29="atende","Falso atende","Divergência de grau")))))))</f>
        <v/>
      </c>
      <c r="Q29" s="24">
        <f>IF(AND(OR(G29="atende",G29="parcial",G29="nao_atende"),OR(L29="atende",L29="parcial",L29="nao_atende")),1,0)</f>
        <v/>
      </c>
      <c r="R29" s="24">
        <f>IF(Q29=1,IF(G29=L29,1,0),"")</f>
        <v/>
      </c>
    </row>
    <row r="30">
      <c r="A30" s="20" t="inlineStr">
        <is>
          <t>Rio de Janeiro</t>
        </is>
      </c>
      <c r="B30" s="20" t="n">
        <v>44</v>
      </c>
      <c r="C30" s="20" t="inlineStr">
        <is>
          <t>2026-10-17</t>
        </is>
      </c>
      <c r="D30" s="20" t="inlineStr">
        <is>
          <t>1.2</t>
        </is>
      </c>
      <c r="E30" s="21" t="inlineStr">
        <is>
          <t>O acesso ao portal transparência está visível na capa do site?</t>
        </is>
      </c>
      <c r="F30" s="20" t="inlineStr">
        <is>
          <t>essencial</t>
        </is>
      </c>
      <c r="G30" s="20" t="inlineStr">
        <is>
          <t>atende</t>
        </is>
      </c>
      <c r="H30" s="22" t="n">
        <v>0.8</v>
      </c>
      <c r="I30" s="21" t="inlineStr">
        <is>
          <t>A capa contém 3 link(s) rotulado(s) 'Transparência'. Destaque visual não verificado (sem renderização).</t>
        </is>
      </c>
      <c r="J30" s="20" t="inlineStr">
        <is>
          <t>https://transparencia.prefeitura.rio</t>
        </is>
      </c>
      <c r="K30" s="21" t="inlineStr">
        <is>
          <t>Transparência Rio</t>
        </is>
      </c>
      <c r="L30" s="23" t="inlineStr">
        <is>
          <t>atende</t>
        </is>
      </c>
      <c r="M30" s="23" t="inlineStr">
        <is>
          <t>https://transparencia.prefeitura.rio/</t>
        </is>
      </c>
      <c r="N30" s="23" t="n"/>
      <c r="O30" s="23" t="n"/>
      <c r="P30" s="24">
        <f>IF(L30="","",IF(G30="inconclusivo","Inconclusivo",IF(L30="nao_aplicavel","Aplicabilidade",IF(L30="nao_verificavel","Não verificável",IF(G30=L30,"Concordância",IF(G30="nao_atende","Falso não atende",IF(G30="atende","Falso atende","Divergência de grau")))))))</f>
        <v/>
      </c>
      <c r="Q30" s="24">
        <f>IF(AND(OR(G30="atende",G30="parcial",G30="nao_atende"),OR(L30="atende",L30="parcial",L30="nao_atende")),1,0)</f>
        <v/>
      </c>
      <c r="R30" s="24">
        <f>IF(Q30=1,IF(G30=L30,1,0),"")</f>
        <v/>
      </c>
    </row>
    <row r="31">
      <c r="A31" s="20" t="inlineStr">
        <is>
          <t>Rio de Janeiro</t>
        </is>
      </c>
      <c r="B31" s="20" t="n">
        <v>44</v>
      </c>
      <c r="C31" s="20" t="inlineStr">
        <is>
          <t>2026-10-17</t>
        </is>
      </c>
      <c r="D31" s="20" t="inlineStr">
        <is>
          <t>1.3</t>
        </is>
      </c>
      <c r="E31" s="21" t="inlineStr">
        <is>
          <t>O site contém ferramenta de pesquisa de conteúdo que permita o acesso à informação?</t>
        </is>
      </c>
      <c r="F31" s="20" t="inlineStr">
        <is>
          <t>essencial</t>
        </is>
      </c>
      <c r="G31" s="20" t="inlineStr">
        <is>
          <t>atende</t>
        </is>
      </c>
      <c r="H31" s="22" t="n">
        <v>0.85</v>
      </c>
      <c r="I31" s="21" t="inlineStr">
        <is>
          <t>Campo de pesquisa encontrado.</t>
        </is>
      </c>
      <c r="J31" s="20" t="inlineStr">
        <is>
          <t>https://prefeitura.rio/</t>
        </is>
      </c>
      <c r="K31" s="21" t="inlineStr">
        <is>
          <t>campo 's' (search)</t>
        </is>
      </c>
      <c r="L31" s="23" t="inlineStr">
        <is>
          <t>atende</t>
        </is>
      </c>
      <c r="M31" s="23" t="inlineStr">
        <is>
          <t>https://prefeitura.rio/</t>
        </is>
      </c>
      <c r="N31" s="23" t="n"/>
      <c r="O31" s="23" t="n"/>
      <c r="P31" s="24">
        <f>IF(L31="","",IF(G31="inconclusivo","Inconclusivo",IF(L31="nao_aplicavel","Aplicabilidade",IF(L31="nao_verificavel","Não verificável",IF(G31=L31,"Concordância",IF(G31="nao_atende","Falso não atende",IF(G31="atende","Falso atende","Divergência de grau")))))))</f>
        <v/>
      </c>
      <c r="Q31" s="24">
        <f>IF(AND(OR(G31="atende",G31="parcial",G31="nao_atende"),OR(L31="atende",L31="parcial",L31="nao_atende")),1,0)</f>
        <v/>
      </c>
      <c r="R31" s="24">
        <f>IF(Q31=1,IF(G31=L31,1,0),"")</f>
        <v/>
      </c>
    </row>
    <row r="32">
      <c r="A32" s="20" t="inlineStr">
        <is>
          <t>Rio de Janeiro</t>
        </is>
      </c>
      <c r="B32" s="20" t="n">
        <v>44</v>
      </c>
      <c r="C32" s="20" t="inlineStr">
        <is>
          <t>2026-10-17</t>
        </is>
      </c>
      <c r="D32" s="20" t="inlineStr">
        <is>
          <t>2.1</t>
        </is>
      </c>
      <c r="E32" s="21" t="inlineStr">
        <is>
          <t>Competências e/ou atribuições</t>
        </is>
      </c>
      <c r="F32" s="20" t="inlineStr">
        <is>
          <t>obrigatoria</t>
        </is>
      </c>
      <c r="G32" s="20" t="inlineStr">
        <is>
          <t>atende</t>
        </is>
      </c>
      <c r="H32" s="22" t="n">
        <v>0.75</v>
      </c>
      <c r="I32" s="21" t="inlineStr">
        <is>
          <t>Página com título de competências/atribuições.</t>
        </is>
      </c>
      <c r="J32" s="20" t="inlineStr">
        <is>
          <t>https://transparencia.prefeitura.rio/perguntas-frequentes/</t>
        </is>
      </c>
      <c r="K32" s="21" t="inlineStr">
        <is>
          <t>ento ao Cidadão. O contribuinte pode entrar em contato por meio do telefone 1746, pelo portal https://www.1746.rio/ ou pelo Aplicativo 1746 (disponível para Android e iOS). 6. Onde posso encontrar as competências dos órgãos da Prefeitura do Rio? A consulta de todos os órgãos da Prefeitura, sua local</t>
        </is>
      </c>
      <c r="L32" s="23" t="inlineStr">
        <is>
          <t>atende</t>
        </is>
      </c>
      <c r="M32" s="23" t="inlineStr">
        <is>
          <t>https://transparencia.prefeitura.rio/perguntas-frequentes/</t>
        </is>
      </c>
      <c r="N32" s="23" t="n"/>
      <c r="O32" s="23" t="n"/>
      <c r="P32" s="24">
        <f>IF(L32="","",IF(G32="inconclusivo","Inconclusivo",IF(L32="nao_aplicavel","Aplicabilidade",IF(L32="nao_verificavel","Não verificável",IF(G32=L32,"Concordância",IF(G32="nao_atende","Falso não atende",IF(G32="atende","Falso atende","Divergência de grau")))))))</f>
        <v/>
      </c>
      <c r="Q32" s="24">
        <f>IF(AND(OR(G32="atende",G32="parcial",G32="nao_atende"),OR(L32="atende",L32="parcial",L32="nao_atende")),1,0)</f>
        <v/>
      </c>
      <c r="R32" s="24">
        <f>IF(Q32=1,IF(G32=L32,1,0),"")</f>
        <v/>
      </c>
    </row>
    <row r="33">
      <c r="A33" s="20" t="inlineStr">
        <is>
          <t>Rio de Janeiro</t>
        </is>
      </c>
      <c r="B33" s="20" t="n">
        <v>44</v>
      </c>
      <c r="C33" s="20" t="inlineStr">
        <is>
          <t>2026-10-17</t>
        </is>
      </c>
      <c r="D33" s="20" t="inlineStr">
        <is>
          <t>2.4</t>
        </is>
      </c>
      <c r="E33" s="21" t="inlineStr">
        <is>
          <t>Endereços</t>
        </is>
      </c>
      <c r="F33" s="20" t="inlineStr">
        <is>
          <t>obrigatoria</t>
        </is>
      </c>
      <c r="G33" s="20" t="inlineStr">
        <is>
          <t>atende</t>
        </is>
      </c>
      <c r="H33" s="22" t="n">
        <v>0.8</v>
      </c>
      <c r="I33" s="21" t="inlineStr">
        <is>
          <t>Endereço encontrado(s) em 'Prefeitura da Cidade do Rio de Janeiro'.</t>
        </is>
      </c>
      <c r="J33" s="20" t="inlineStr">
        <is>
          <t>https://prefeitura.rio/</t>
        </is>
      </c>
      <c r="K33" s="21" t="inlineStr">
        <is>
          <t>e de um atendimento personalizado ou serviços que não estão disponíveis online. Rua Afonso Cavalcanti, 455 - Cidade Nova Aplicativos Solicite diversos serviços diretamente do seu disposi</t>
        </is>
      </c>
      <c r="L33" s="23" t="inlineStr">
        <is>
          <t>atende</t>
        </is>
      </c>
      <c r="M33" s="23" t="inlineStr">
        <is>
          <t>https://prefeitura.rio/</t>
        </is>
      </c>
      <c r="N33" s="23" t="n"/>
      <c r="O33" s="23" t="n"/>
      <c r="P33" s="24">
        <f>IF(L33="","",IF(G33="inconclusivo","Inconclusivo",IF(L33="nao_aplicavel","Aplicabilidade",IF(L33="nao_verificavel","Não verificável",IF(G33=L33,"Concordância",IF(G33="nao_atende","Falso não atende",IF(G33="atende","Falso atende","Divergência de grau")))))))</f>
        <v/>
      </c>
      <c r="Q33" s="24">
        <f>IF(AND(OR(G33="atende",G33="parcial",G33="nao_atende"),OR(L33="atende",L33="parcial",L33="nao_atende")),1,0)</f>
        <v/>
      </c>
      <c r="R33" s="24">
        <f>IF(Q33=1,IF(G33=L33,1,0),"")</f>
        <v/>
      </c>
    </row>
    <row r="34">
      <c r="A34" s="20" t="inlineStr">
        <is>
          <t>Rio de Janeiro</t>
        </is>
      </c>
      <c r="B34" s="20" t="n">
        <v>44</v>
      </c>
      <c r="C34" s="20" t="inlineStr">
        <is>
          <t>2026-10-17</t>
        </is>
      </c>
      <c r="D34" s="20" t="inlineStr">
        <is>
          <t>2.5</t>
        </is>
      </c>
      <c r="E34" s="21" t="inlineStr">
        <is>
          <t>Telefones</t>
        </is>
      </c>
      <c r="F34" s="20" t="inlineStr">
        <is>
          <t>obrigatoria</t>
        </is>
      </c>
      <c r="G34" s="20" t="inlineStr">
        <is>
          <t>atende</t>
        </is>
      </c>
      <c r="H34" s="22" t="n">
        <v>0.8</v>
      </c>
      <c r="I34" s="21" t="inlineStr">
        <is>
          <t>Telefone encontrado(s) em 'Perguntas Frequentes – PORTAL DA TRANSPARÊNCIA RIO'.</t>
        </is>
      </c>
      <c r="J34" s="20" t="inlineStr">
        <is>
          <t>https://transparencia.prefeitura.rio/perguntas-frequentes/</t>
        </is>
      </c>
      <c r="K34" s="21" t="inlineStr">
        <is>
          <t>Janeiro, utilizar o número 1746. Já para demais localidades, utilizar o número (21) 3460-1746. 4. Onde posso encontrar os serviços da Prefeitura do Rio? A Prefeitura disponi</t>
        </is>
      </c>
      <c r="L34" s="23" t="inlineStr">
        <is>
          <t>atende</t>
        </is>
      </c>
      <c r="M34" s="23" t="inlineStr">
        <is>
          <t>https://transparencia.prefeitura.rio/perguntas-frequentes/</t>
        </is>
      </c>
      <c r="N34" s="23" t="n"/>
      <c r="O34" s="23" t="n"/>
      <c r="P34" s="24">
        <f>IF(L34="","",IF(G34="inconclusivo","Inconclusivo",IF(L34="nao_aplicavel","Aplicabilidade",IF(L34="nao_verificavel","Não verificável",IF(G34=L34,"Concordância",IF(G34="nao_atende","Falso não atende",IF(G34="atende","Falso atende","Divergência de grau")))))))</f>
        <v/>
      </c>
      <c r="Q34" s="24">
        <f>IF(AND(OR(G34="atende",G34="parcial",G34="nao_atende"),OR(L34="atende",L34="parcial",L34="nao_atende")),1,0)</f>
        <v/>
      </c>
      <c r="R34" s="24">
        <f>IF(Q34=1,IF(G34=L34,1,0),"")</f>
        <v/>
      </c>
    </row>
    <row r="35">
      <c r="A35" s="20" t="inlineStr">
        <is>
          <t>Rio de Janeiro</t>
        </is>
      </c>
      <c r="B35" s="20" t="n">
        <v>44</v>
      </c>
      <c r="C35" s="20" t="inlineStr">
        <is>
          <t>2026-10-17</t>
        </is>
      </c>
      <c r="D35" s="20" t="inlineStr">
        <is>
          <t>2.6</t>
        </is>
      </c>
      <c r="E35" s="21" t="inlineStr">
        <is>
          <t>Horário de atendimento</t>
        </is>
      </c>
      <c r="F35" s="20" t="inlineStr">
        <is>
          <t>obrigatoria</t>
        </is>
      </c>
      <c r="G35" s="20" t="inlineStr">
        <is>
          <t>atende</t>
        </is>
      </c>
      <c r="H35" s="22" t="n">
        <v>0.75</v>
      </c>
      <c r="I35" s="21" t="inlineStr">
        <is>
          <t>Horário de atendimento encontrado(s) em 'Perguntas Frequentes - Lei Geral de Proteção de Dados (LGPD)'.</t>
        </is>
      </c>
      <c r="J35" s="20" t="inlineStr">
        <is>
          <t>https://lgpd.prefeitura.rio/faq/</t>
        </is>
      </c>
      <c r="K35" s="21" t="inlineStr">
        <is>
          <t>e Dados Pessoais lgpd.smit@prefeitura.rio Telefone da Secretaria: 21 97050-5566 HORÁRIO DE ATENDIMENTO 10h às 18h DÚVIDAS, SERVIÇOS, INFORMAÇÕES OU DENÚNCIAS: ligue 1746 ou (21) 3460</t>
        </is>
      </c>
      <c r="L35" s="23" t="inlineStr">
        <is>
          <t>atende</t>
        </is>
      </c>
      <c r="M35" s="23" t="inlineStr">
        <is>
          <t>https://ouvidoria.prefeitura.rio/</t>
        </is>
      </c>
      <c r="N35" s="23" t="n"/>
      <c r="O35" s="23" t="n"/>
      <c r="P35" s="24">
        <f>IF(L35="","",IF(G35="inconclusivo","Inconclusivo",IF(L35="nao_aplicavel","Aplicabilidade",IF(L35="nao_verificavel","Não verificável",IF(G35=L35,"Concordância",IF(G35="nao_atende","Falso não atende",IF(G35="atende","Falso atende","Divergência de grau")))))))</f>
        <v/>
      </c>
      <c r="Q35" s="24">
        <f>IF(AND(OR(G35="atende",G35="parcial",G35="nao_atende"),OR(L35="atende",L35="parcial",L35="nao_atende")),1,0)</f>
        <v/>
      </c>
      <c r="R35" s="24">
        <f>IF(Q35=1,IF(G35=L35,1,0),"")</f>
        <v/>
      </c>
    </row>
    <row r="36">
      <c r="A36" s="20" t="inlineStr">
        <is>
          <t>Rio de Janeiro</t>
        </is>
      </c>
      <c r="B36" s="20" t="n">
        <v>44</v>
      </c>
      <c r="C36" s="20" t="inlineStr">
        <is>
          <t>2026-10-17</t>
        </is>
      </c>
      <c r="D36" s="20" t="inlineStr">
        <is>
          <t>2.9</t>
        </is>
      </c>
      <c r="E36" s="21" t="inlineStr">
        <is>
          <t>Canal de Comunicação com cidadão do tipo ‘Fale Conosco’, que permite ao interessado comunicar-se com órgão por via eletrônica ou telefônica</t>
        </is>
      </c>
      <c r="F36" s="20" t="inlineStr">
        <is>
          <t>obrigatoria</t>
        </is>
      </c>
      <c r="G36" s="20" t="inlineStr">
        <is>
          <t>atende</t>
        </is>
      </c>
      <c r="H36" s="22" t="n">
        <v>0.7</v>
      </c>
      <c r="I36" s="21" t="inlineStr">
        <is>
          <t>Link para canal de contato encontrado; formulário não verificado (pode estar em sistema externo).</t>
        </is>
      </c>
      <c r="J36" s="20" t="inlineStr">
        <is>
          <t>https://ouvidoria.prefeitura.rio</t>
        </is>
      </c>
      <c r="K36" s="21" t="inlineStr">
        <is>
          <t>OUVIDORIA</t>
        </is>
      </c>
      <c r="L36" s="23" t="inlineStr">
        <is>
          <t>atende</t>
        </is>
      </c>
      <c r="M36" s="23" t="inlineStr">
        <is>
          <t>https://ouvidoria.prefeitura.rio/</t>
        </is>
      </c>
      <c r="N36" s="23" t="n"/>
      <c r="O36" s="23" t="n"/>
      <c r="P36" s="24">
        <f>IF(L36="","",IF(G36="inconclusivo","Inconclusivo",IF(L36="nao_aplicavel","Aplicabilidade",IF(L36="nao_verificavel","Não verificável",IF(G36=L36,"Concordância",IF(G36="nao_atende","Falso não atende",IF(G36="atende","Falso atende","Divergência de grau")))))))</f>
        <v/>
      </c>
      <c r="Q36" s="24">
        <f>IF(AND(OR(G36="atende",G36="parcial",G36="nao_atende"),OR(L36="atende",L36="parcial",L36="nao_atende")),1,0)</f>
        <v/>
      </c>
      <c r="R36" s="24">
        <f>IF(Q36=1,IF(G36=L36,1,0),"")</f>
        <v/>
      </c>
    </row>
    <row r="37">
      <c r="A37" s="20" t="inlineStr">
        <is>
          <t>Rio de Janeiro</t>
        </is>
      </c>
      <c r="B37" s="20" t="n">
        <v>44</v>
      </c>
      <c r="C37" s="20" t="inlineStr">
        <is>
          <t>2026-10-17</t>
        </is>
      </c>
      <c r="D37" s="20" t="inlineStr">
        <is>
          <t>3.1</t>
        </is>
      </c>
      <c r="E37" s="21" t="inlineStr">
        <is>
          <t>Valores da receita pública arrecadada</t>
        </is>
      </c>
      <c r="F37" s="20" t="inlineStr">
        <is>
          <t>essencial</t>
        </is>
      </c>
      <c r="G37" s="20" t="inlineStr">
        <is>
          <t>inconclusivo</t>
        </is>
      </c>
      <c r="H37" s="22" t="n">
        <v>0.45</v>
      </c>
      <c r="I37" s="21" t="inlineStr">
        <is>
          <t>Página de receitas cita arrecadação, mas sem tabela legível.</t>
        </is>
      </c>
      <c r="J37" s="20" t="inlineStr">
        <is>
          <t>https://transparencia.prefeitura.rio/planejamento-e-prestacao-de-contas/receitas-e-despesas/</t>
        </is>
      </c>
      <c r="K37" s="21" t="inlineStr">
        <is>
          <t>ecutivo Municipal. O cidadão poderá ter acesso a informações sobre a execução orçamentária da receita e despesa, favorecidos e contratações realizadas. A atualização é diária com informações realizadas até o dia anterior. Mas o que é Receita Pública? Para atender às necessidades da socie</t>
        </is>
      </c>
      <c r="L37" s="23" t="inlineStr">
        <is>
          <t>atende</t>
        </is>
      </c>
      <c r="M37" s="23" t="inlineStr">
        <is>
          <t>https://www.rio.rj.gov.br/web/contasrio/dados-abertos</t>
        </is>
      </c>
      <c r="N37" s="23" t="inlineStr">
        <is>
          <t>Informação em sistema externo/consulta</t>
        </is>
      </c>
      <c r="O37" s="23" t="inlineStr">
        <is>
          <t>O Contas Rio disponibiliza receitas por órgão e por fonte e arquivos abertos de execução orçamentária; o robô não alcançou essa consulta externa.</t>
        </is>
      </c>
      <c r="P37" s="24">
        <f>IF(L37="","",IF(G37="inconclusivo","Inconclusivo",IF(L37="nao_aplicavel","Aplicabilidade",IF(L37="nao_verificavel","Não verificável",IF(G37=L37,"Concordância",IF(G37="nao_atende","Falso não atende",IF(G37="atende","Falso atende","Divergência de grau")))))))</f>
        <v/>
      </c>
      <c r="Q37" s="24">
        <f>IF(AND(OR(G37="atende",G37="parcial",G37="nao_atende"),OR(L37="atende",L37="parcial",L37="nao_atende")),1,0)</f>
        <v/>
      </c>
      <c r="R37" s="24">
        <f>IF(Q37=1,IF(G37=L37,1,0),"")</f>
        <v/>
      </c>
    </row>
    <row r="38">
      <c r="A38" s="20" t="inlineStr">
        <is>
          <t>Rio de Janeiro</t>
        </is>
      </c>
      <c r="B38" s="20" t="n">
        <v>44</v>
      </c>
      <c r="C38" s="20" t="inlineStr">
        <is>
          <t>2026-10-17</t>
        </is>
      </c>
      <c r="D38" s="20" t="inlineStr">
        <is>
          <t>3.5</t>
        </is>
      </c>
      <c r="E38" s="21" t="inlineStr">
        <is>
          <t>Gravação de relatórios em diversos formatos em relação aos critérios da receita</t>
        </is>
      </c>
      <c r="F38" s="20" t="inlineStr">
        <is>
          <t>obrigatoria</t>
        </is>
      </c>
      <c r="G38" s="20" t="inlineStr">
        <is>
          <t>atende</t>
        </is>
      </c>
      <c r="H38" s="22" t="n">
        <v>0.85</v>
      </c>
      <c r="I38" s="21" t="inlineStr">
        <is>
          <t>Relatórios de receita exportáveis em odt, pdf, xls.</t>
        </is>
      </c>
      <c r="J38" s="20" t="inlineStr">
        <is>
          <t>https://transparencia.prefeitura.rio/wp-content/uploads/sites/100/2023/07/Demonstrativo-7-Estimativa-e-Compensacao-de-Renuncia-de-Receita-2026.pdf</t>
        </is>
      </c>
      <c r="K38" s="21" t="inlineStr">
        <is>
          <t>2026</t>
        </is>
      </c>
      <c r="L38" s="23" t="inlineStr">
        <is>
          <t>atende</t>
        </is>
      </c>
      <c r="M38" s="23" t="inlineStr">
        <is>
          <t>https://www.rio.rj.gov.br/web/contasrio/dados-abertos</t>
        </is>
      </c>
      <c r="N38" s="23" t="n"/>
      <c r="O38" s="23" t="n"/>
      <c r="P38" s="24">
        <f>IF(L38="","",IF(G38="inconclusivo","Inconclusivo",IF(L38="nao_aplicavel","Aplicabilidade",IF(L38="nao_verificavel","Não verificável",IF(G38=L38,"Concordância",IF(G38="nao_atende","Falso não atende",IF(G38="atende","Falso atende","Divergência de grau")))))))</f>
        <v/>
      </c>
      <c r="Q38" s="24">
        <f>IF(AND(OR(G38="atende",G38="parcial",G38="nao_atende"),OR(L38="atende",L38="parcial",L38="nao_atende")),1,0)</f>
        <v/>
      </c>
      <c r="R38" s="24">
        <f>IF(Q38=1,IF(G38=L38,1,0),"")</f>
        <v/>
      </c>
    </row>
    <row r="39">
      <c r="A39" s="20" t="inlineStr">
        <is>
          <t>Rio de Janeiro</t>
        </is>
      </c>
      <c r="B39" s="20" t="n">
        <v>44</v>
      </c>
      <c r="C39" s="20" t="inlineStr">
        <is>
          <t>2026-10-17</t>
        </is>
      </c>
      <c r="D39" s="20" t="inlineStr">
        <is>
          <t>4.1</t>
        </is>
      </c>
      <c r="E39" s="21" t="inlineStr">
        <is>
          <t>Número e o valor de empenho, liquidação e pagamento</t>
        </is>
      </c>
      <c r="F39" s="20" t="inlineStr">
        <is>
          <t>essencial</t>
        </is>
      </c>
      <c r="G39" s="20" t="inlineStr">
        <is>
          <t>inconclusivo</t>
        </is>
      </c>
      <c r="H39" s="22" t="n">
        <v>0.45</v>
      </c>
      <c r="I39" s="21" t="inlineStr">
        <is>
          <t>Página de despesas cita as três fases, mas os dados não estão em tabela legível (provável consulta dinâmica).</t>
        </is>
      </c>
      <c r="J39" s="20" t="inlineStr">
        <is>
          <t>https://transparencia.prefeitura.rio/planejamento-e-prestacao-de-contas/receitas-e-despesas/</t>
        </is>
      </c>
      <c r="K39" s="21" t="inlineStr">
        <is>
          <t>a Despesa Pública? Significa realizar as despesas previstas no orçamento público, seguindo os três estágios presentes na Lei nº 4.32019/64: empenho, liquidação e pagamento. O empenho é a etapa em que o governo reserva o dinheiro que será pago quando o bem for entregue ou o serviço conc</t>
        </is>
      </c>
      <c r="L39" s="23" t="inlineStr">
        <is>
          <t>parcial</t>
        </is>
      </c>
      <c r="M39" s="23" t="inlineStr">
        <is>
          <t>https://www.rio.rj.gov.br/web/contasrio/dados-abertos</t>
        </is>
      </c>
      <c r="N39" s="23" t="inlineStr">
        <is>
          <t>Informação em sistema externo/consulta</t>
        </is>
      </c>
      <c r="O39" s="23" t="inlineStr">
        <is>
          <t>Contas Rio oferece consultas separadas de empenhos, liquidação e pagamentos. Não foi possível conferir o número e valor de cada fase em um mesmo registro.</t>
        </is>
      </c>
      <c r="P39" s="24">
        <f>IF(L39="","",IF(G39="inconclusivo","Inconclusivo",IF(L39="nao_aplicavel","Aplicabilidade",IF(L39="nao_verificavel","Não verificável",IF(G39=L39,"Concordância",IF(G39="nao_atende","Falso não atende",IF(G39="atende","Falso atende","Divergência de grau")))))))</f>
        <v/>
      </c>
      <c r="Q39" s="24">
        <f>IF(AND(OR(G39="atende",G39="parcial",G39="nao_atende"),OR(L39="atende",L39="parcial",L39="nao_atende")),1,0)</f>
        <v/>
      </c>
      <c r="R39" s="24">
        <f>IF(Q39=1,IF(G39=L39,1,0),"")</f>
        <v/>
      </c>
    </row>
    <row r="40">
      <c r="A40" s="20" t="inlineStr">
        <is>
          <t>Rio de Janeiro</t>
        </is>
      </c>
      <c r="B40" s="20" t="n">
        <v>44</v>
      </c>
      <c r="C40" s="20" t="inlineStr">
        <is>
          <t>2026-10-17</t>
        </is>
      </c>
      <c r="D40" s="20" t="inlineStr">
        <is>
          <t>4.5</t>
        </is>
      </c>
      <c r="E40" s="21" t="inlineStr">
        <is>
          <t>Gravação de relatórios em diversos formatos em relação aos critérios da despesa</t>
        </is>
      </c>
      <c r="F40" s="20" t="inlineStr">
        <is>
          <t>obrigatoria</t>
        </is>
      </c>
      <c r="G40" s="25" t="inlineStr">
        <is>
          <t>inconclusivo</t>
        </is>
      </c>
      <c r="H40" s="22" t="n">
        <v>0.4</v>
      </c>
      <c r="I40" s="21" t="inlineStr">
        <is>
          <t>Exportação de relatórios de despesa não encontrada nas páginas visitadas, mas elas apontam para 3 link(s) de sistema externo não visitado(s) (ex.: www.rio.rj.gov.br).</t>
        </is>
      </c>
      <c r="J40" s="20" t="inlineStr">
        <is>
          <t>https://www.rio.rj.gov.br/web/contasrio</t>
        </is>
      </c>
      <c r="K40" s="21" t="inlineStr">
        <is>
          <t>ACESSE O NOVO PORTAL CONTAS RIO</t>
        </is>
      </c>
      <c r="L40" s="23" t="inlineStr">
        <is>
          <t>atende</t>
        </is>
      </c>
      <c r="M40" s="23" t="inlineStr">
        <is>
          <t>https://transparencia.prefeitura.rio/dados-abertos/</t>
        </is>
      </c>
      <c r="N40" s="23" t="inlineStr">
        <is>
          <t>Informação em sistema externo/consulta</t>
        </is>
      </c>
      <c r="O40" s="23" t="inlineStr">
        <is>
          <t>O Portal da Transparência aponta o Contas Rio com downloads em CSV e TXT de execução de despesas e liquidações.</t>
        </is>
      </c>
      <c r="P40" s="24">
        <f>IF(L40="","",IF(G40="inconclusivo","Inconclusivo",IF(L40="nao_aplicavel","Aplicabilidade",IF(L40="nao_verificavel","Não verificável",IF(G40=L40,"Concordância",IF(G40="nao_atende","Falso não atende",IF(G40="atende","Falso atende","Divergência de grau")))))))</f>
        <v/>
      </c>
      <c r="Q40" s="24">
        <f>IF(AND(OR(G40="atende",G40="parcial",G40="nao_atende"),OR(L40="atende",L40="parcial",L40="nao_atende")),1,0)</f>
        <v/>
      </c>
      <c r="R40" s="24">
        <f>IF(Q40=1,IF(G40=L40,1,0),"")</f>
        <v/>
      </c>
    </row>
    <row r="41">
      <c r="A41" s="20" t="inlineStr">
        <is>
          <t>Rio de Janeiro</t>
        </is>
      </c>
      <c r="B41" s="20" t="n">
        <v>44</v>
      </c>
      <c r="C41" s="20" t="inlineStr">
        <is>
          <t>2026-10-17</t>
        </is>
      </c>
      <c r="D41" s="20" t="inlineStr">
        <is>
          <t>4.6</t>
        </is>
      </c>
      <c r="E41" s="21" t="inlineStr">
        <is>
          <t>Existência de informações atualizadas em relação aos critérios da despesa</t>
        </is>
      </c>
      <c r="F41" s="20" t="inlineStr">
        <is>
          <t>obrigatoria</t>
        </is>
      </c>
      <c r="G41" s="20" t="inlineStr">
        <is>
          <t>inconclusivo</t>
        </is>
      </c>
      <c r="H41" s="22" t="n">
        <v>0.45</v>
      </c>
      <c r="I41" s="21" t="inlineStr">
        <is>
          <t>Data mais recente encontrada (30/04/2025, 535 dias) vem do texto da página, não de registros tabulados; não comprova a desatualização.</t>
        </is>
      </c>
      <c r="J41" s="20" t="inlineStr">
        <is>
          <t>https://transparencia.prefeitura.rio/planejamento-e-prestacao-de-contas/receitas-e-despesas/</t>
        </is>
      </c>
      <c r="K41" s="21" t="inlineStr">
        <is>
          <t>cio &gt; Receitas e Despesas Início &gt; Planejamento e Prestação de Contas &gt; Receitas e Despesas Publicado em 19/08/2019 - 15:23 | Atualizado em 30/04/2025 - 18:13 ACESSE O NOVO PORTAL CONTAS RIO O Portal Contas Rio é mantido pela Controladoria Geral do Município e apresenta informações sobre a</t>
        </is>
      </c>
      <c r="L41" s="23" t="inlineStr">
        <is>
          <t>atende</t>
        </is>
      </c>
      <c r="M41" s="23" t="inlineStr">
        <is>
          <t>https://controladoria.prefeitura.rio/lrf-bimestrais-ano-2026/</t>
        </is>
      </c>
      <c r="N41" s="23" t="inlineStr">
        <is>
          <t>Regra: falso indício</t>
        </is>
      </c>
      <c r="O41" s="23" t="inlineStr">
        <is>
          <t>Há demonstrativos de execução de despesa referentes ao 4º bimestre de 2026; o registro de 2025 citado pelo robô não representa o conteúdo mais recente.</t>
        </is>
      </c>
      <c r="P41" s="24">
        <f>IF(L41="","",IF(G41="inconclusivo","Inconclusivo",IF(L41="nao_aplicavel","Aplicabilidade",IF(L41="nao_verificavel","Não verificável",IF(G41=L41,"Concordância",IF(G41="nao_atende","Falso não atende",IF(G41="atende","Falso atende","Divergência de grau")))))))</f>
        <v/>
      </c>
      <c r="Q41" s="24">
        <f>IF(AND(OR(G41="atende",G41="parcial",G41="nao_atende"),OR(L41="atende",L41="parcial",L41="nao_atende")),1,0)</f>
        <v/>
      </c>
      <c r="R41" s="24">
        <f>IF(Q41=1,IF(G41=L41,1,0),"")</f>
        <v/>
      </c>
    </row>
    <row r="42">
      <c r="A42" s="20" t="inlineStr">
        <is>
          <t>Rio de Janeiro</t>
        </is>
      </c>
      <c r="B42" s="20" t="n">
        <v>44</v>
      </c>
      <c r="C42" s="20" t="inlineStr">
        <is>
          <t>2026-10-17</t>
        </is>
      </c>
      <c r="D42" s="20" t="inlineStr">
        <is>
          <t>4.7</t>
        </is>
      </c>
      <c r="E42" s="21" t="inlineStr">
        <is>
          <t>Existência de histórico das informações em relação aos critérios da despesa</t>
        </is>
      </c>
      <c r="F42" s="20" t="inlineStr">
        <is>
          <t>obrigatoria</t>
        </is>
      </c>
      <c r="G42" s="20" t="inlineStr">
        <is>
          <t>inconclusivo</t>
        </is>
      </c>
      <c r="H42" s="22" t="n">
        <v>0.4</v>
      </c>
      <c r="I42" s="21" t="inlineStr">
        <is>
          <t>Seletor de exercício não identificado no HTML.</t>
        </is>
      </c>
      <c r="J42" s="20" t="inlineStr">
        <is>
          <t>https://transparencia.prefeitura.rio/planejamento-e-prestacao-de-contas/receitas-e-despesas/</t>
        </is>
      </c>
      <c r="K42" s="21" t="inlineStr"/>
      <c r="L42" s="23" t="inlineStr">
        <is>
          <t>atende</t>
        </is>
      </c>
      <c r="M42" s="23" t="inlineStr">
        <is>
          <t>https://www.rio.rj.gov.br/web/contasrio/dados-abertos</t>
        </is>
      </c>
      <c r="N42" s="23" t="inlineStr">
        <is>
          <t>Informação em sistema externo/consulta</t>
        </is>
      </c>
      <c r="O42" s="23" t="inlineStr">
        <is>
          <t>O portal Contas Rio disponibiliza execução orçamentária por exercícios e arquivo completo histórico, mesmo sem seletor identificado na página inicial.</t>
        </is>
      </c>
      <c r="P42" s="24">
        <f>IF(L42="","",IF(G42="inconclusivo","Inconclusivo",IF(L42="nao_aplicavel","Aplicabilidade",IF(L42="nao_verificavel","Não verificável",IF(G42=L42,"Concordância",IF(G42="nao_atende","Falso não atende",IF(G42="atende","Falso atende","Divergência de grau")))))))</f>
        <v/>
      </c>
      <c r="Q42" s="24">
        <f>IF(AND(OR(G42="atende",G42="parcial",G42="nao_atende"),OR(L42="atende",L42="parcial",L42="nao_atende")),1,0)</f>
        <v/>
      </c>
      <c r="R42" s="24">
        <f>IF(Q42=1,IF(G42=L42,1,0),"")</f>
        <v/>
      </c>
    </row>
    <row r="43">
      <c r="A43" s="20" t="inlineStr">
        <is>
          <t>Rio de Janeiro</t>
        </is>
      </c>
      <c r="B43" s="20" t="n">
        <v>44</v>
      </c>
      <c r="C43" s="20" t="inlineStr">
        <is>
          <t>2026-10-17</t>
        </is>
      </c>
      <c r="D43" s="20" t="inlineStr">
        <is>
          <t>12.1</t>
        </is>
      </c>
      <c r="E43" s="21" t="inlineStr">
        <is>
          <t>Publica o Relatório de Gestão Fiscal (RGF)</t>
        </is>
      </c>
      <c r="F43" s="20" t="inlineStr">
        <is>
          <t>essencial</t>
        </is>
      </c>
      <c r="G43" s="20" t="inlineStr">
        <is>
          <t>parcial</t>
        </is>
      </c>
      <c r="H43" s="22" t="n">
        <v>0.55</v>
      </c>
      <c r="I43" s="21" t="inlineStr">
        <is>
          <t>Link para Relatório de Gestão Fiscal encontrado, mas o arquivo não foi alcançado (pode estar em consulta dinâmica ou página não coletada).</t>
        </is>
      </c>
      <c r="J43" s="20" t="inlineStr">
        <is>
          <t>https://transparencia.prefeitura.rio/contas-publicas/plano-de-execucoes-orcamentaria-e-de-gestao-fiscal</t>
        </is>
      </c>
      <c r="K43" s="21" t="inlineStr">
        <is>
          <t>PLANO DE EXECUÇÕES ORÇAMENTÁRIA E DE GESTÃO FISCAL</t>
        </is>
      </c>
      <c r="L43" s="23" t="inlineStr">
        <is>
          <t>atende</t>
        </is>
      </c>
      <c r="M43" s="23" t="inlineStr">
        <is>
          <t>https://controladoria.prefeitura.rio/lrf-quadrimestrais-ano-2026/</t>
        </is>
      </c>
      <c r="N43" s="23" t="inlineStr">
        <is>
          <t>Informação em sistema externo/consulta</t>
        </is>
      </c>
      <c r="O43" s="23" t="inlineStr">
        <is>
          <t>Os anexos do RGF de 2026 estão publicados em links dos 1º e 2º quadrimestres, inclusive demonstrativo simplificado e arquivo editável.</t>
        </is>
      </c>
      <c r="P43" s="24">
        <f>IF(L43="","",IF(G43="inconclusivo","Inconclusivo",IF(L43="nao_aplicavel","Aplicabilidade",IF(L43="nao_verificavel","Não verificável",IF(G43=L43,"Concordância",IF(G43="nao_atende","Falso não atende",IF(G43="atende","Falso atende","Divergência de grau")))))))</f>
        <v/>
      </c>
      <c r="Q43" s="24">
        <f>IF(AND(OR(G43="atende",G43="parcial",G43="nao_atende"),OR(L43="atende",L43="parcial",L43="nao_atende")),1,0)</f>
        <v/>
      </c>
      <c r="R43" s="24">
        <f>IF(Q43=1,IF(G43=L43,1,0),"")</f>
        <v/>
      </c>
    </row>
    <row r="44">
      <c r="A44" s="20" t="inlineStr">
        <is>
          <t>Rio de Janeiro</t>
        </is>
      </c>
      <c r="B44" s="20" t="n">
        <v>44</v>
      </c>
      <c r="C44" s="20" t="inlineStr">
        <is>
          <t>2026-10-17</t>
        </is>
      </c>
      <c r="D44" s="20" t="inlineStr">
        <is>
          <t>15.1</t>
        </is>
      </c>
      <c r="E44" s="21" t="inlineStr">
        <is>
          <t>Há possibilidade de envio de pedidos de informação de forma eletrônica (e­SIC)</t>
        </is>
      </c>
      <c r="F44" s="20" t="inlineStr">
        <is>
          <t>essencial</t>
        </is>
      </c>
      <c r="G44" s="20" t="inlineStr">
        <is>
          <t>atende</t>
        </is>
      </c>
      <c r="H44" s="22" t="n">
        <v>0.75</v>
      </c>
      <c r="I44" s="21" t="inlineStr">
        <is>
          <t>Link para sistema e-SIC encontrado; envio não testado (o robô não submete pedidos).</t>
        </is>
      </c>
      <c r="J44" s="20" t="inlineStr">
        <is>
          <t>https://transparencia.prefeitura.rio/acesso-a-informacao/pedido-de-informacao/</t>
        </is>
      </c>
      <c r="K44" s="21" t="inlineStr">
        <is>
          <t>Pedido de Informação</t>
        </is>
      </c>
      <c r="L44" s="23" t="inlineStr">
        <is>
          <t>atende</t>
        </is>
      </c>
      <c r="M44" s="23" t="inlineStr">
        <is>
          <t>https://transparencia.prefeitura.rio/acesso-a-informacao/pedido-de-informacao/</t>
        </is>
      </c>
      <c r="N44" s="23" t="n"/>
      <c r="O44" s="23" t="n"/>
      <c r="P44" s="24">
        <f>IF(L44="","",IF(G44="inconclusivo","Inconclusivo",IF(L44="nao_aplicavel","Aplicabilidade",IF(L44="nao_verificavel","Não verificável",IF(G44=L44,"Concordância",IF(G44="nao_atende","Falso não atende",IF(G44="atende","Falso atende","Divergência de grau")))))))</f>
        <v/>
      </c>
      <c r="Q44" s="24">
        <f>IF(AND(OR(G44="atende",G44="parcial",G44="nao_atende"),OR(L44="atende",L44="parcial",L44="nao_atende")),1,0)</f>
        <v/>
      </c>
      <c r="R44" s="24">
        <f>IF(Q44=1,IF(G44=L44,1,0),"")</f>
        <v/>
      </c>
    </row>
    <row r="45">
      <c r="A45" s="20" t="inlineStr">
        <is>
          <t>Rio de Janeiro</t>
        </is>
      </c>
      <c r="B45" s="20" t="n">
        <v>44</v>
      </c>
      <c r="C45" s="20" t="inlineStr">
        <is>
          <t>2026-10-17</t>
        </is>
      </c>
      <c r="D45" s="20" t="inlineStr">
        <is>
          <t>15.2</t>
        </is>
      </c>
      <c r="E45" s="21" t="inlineStr">
        <is>
          <t>A solicitação por meio do e­SIC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      </is>
      </c>
      <c r="F45" s="20" t="inlineStr">
        <is>
          <t>obrigatoria</t>
        </is>
      </c>
      <c r="G45" s="20" t="inlineStr">
        <is>
          <t>inconclusivo</t>
        </is>
      </c>
      <c r="H45" s="22" t="n">
        <v>0.35</v>
      </c>
      <c r="I45" s="21" t="inlineStr">
        <is>
          <t>Formulário do e-SIC não acessível ao robô (sistema externo ou login). Exigências precisam de leitura do texto.</t>
        </is>
      </c>
      <c r="J45" s="20" t="inlineStr">
        <is>
          <t>https://transparencia.prefeitura.rio/perguntas-frequentes/pedidos-de-acesso-a-informacao/</t>
        </is>
      </c>
      <c r="K45" s="21" t="inlineStr"/>
      <c r="L45" s="23" t="inlineStr">
        <is>
          <t>nao_verificavel</t>
        </is>
      </c>
      <c r="M45" s="23" t="inlineStr">
        <is>
          <t>https://transparencia.prefeitura.rio/perguntas-frequentes/pedidos-de-acesso-a-informacao/</t>
        </is>
      </c>
      <c r="N45" s="23" t="n"/>
      <c r="O45" s="23" t="n"/>
      <c r="P45" s="24">
        <f>IF(L45="","",IF(G45="inconclusivo","Inconclusivo",IF(L45="nao_aplicavel","Aplicabilidade",IF(L45="nao_verificavel","Não verificável",IF(G45=L45,"Concordância",IF(G45="nao_atende","Falso não atende",IF(G45="atende","Falso atende","Divergência de grau")))))))</f>
        <v/>
      </c>
      <c r="Q45" s="24">
        <f>IF(AND(OR(G45="atende",G45="parcial",G45="nao_atende"),OR(L45="atende",L45="parcial",L45="nao_atende")),1,0)</f>
        <v/>
      </c>
      <c r="R45" s="24">
        <f>IF(Q45=1,IF(G45=L45,1,0),"")</f>
        <v/>
      </c>
    </row>
    <row r="46">
      <c r="A46" s="20" t="inlineStr">
        <is>
          <t>Rio de Janeiro</t>
        </is>
      </c>
      <c r="B46" s="20" t="n">
        <v>44</v>
      </c>
      <c r="C46" s="20" t="inlineStr">
        <is>
          <t>2026-10-17</t>
        </is>
      </c>
      <c r="D46" s="20" t="inlineStr">
        <is>
          <t>15.4</t>
        </is>
      </c>
      <c r="E46" s="21" t="inlineStr">
        <is>
          <t>Divulga, na seção relativa ao e-SIC, os prazos de resposta ao cidadão, incluindo o recursal, e as autoridades competentes para o exame dos pedidos, além do procedimento referente à realização do pedido e de eventual recurso?</t>
        </is>
      </c>
      <c r="F46" s="20" t="inlineStr">
        <is>
          <t>obrigatoria</t>
        </is>
      </c>
      <c r="G46" s="20" t="inlineStr">
        <is>
          <t>atende</t>
        </is>
      </c>
      <c r="H46" s="22" t="n">
        <v>0.75</v>
      </c>
      <c r="I46" s="21" t="inlineStr">
        <is>
          <t>Prazo de resposta e possibilidade de recurso informados.</t>
        </is>
      </c>
      <c r="J46" s="20" t="inlineStr">
        <is>
          <t>https://transparencia.prefeitura.rio/acesso-a-informacao/pedido-de-informacao/</t>
        </is>
      </c>
      <c r="K46" s="21" t="inlineStr">
        <is>
          <t>ponível, ela deve ser entregue imediatamente ao solicitante. Caso não seja possível conceder o acesso imediato, o órgão ou entidade tem até 20 dias para responder ao pedido. Este prazo, contudo, pode ser prorrogado por mais 10 dias , mediante justificativa expressa do órgão. Caso não se</t>
        </is>
      </c>
      <c r="L46" s="23" t="inlineStr">
        <is>
          <t>atende</t>
        </is>
      </c>
      <c r="M46" s="23" t="inlineStr">
        <is>
          <t>https://transparencia.prefeitura.rio/acesso-a-informacao/pedido-de-informacao/</t>
        </is>
      </c>
      <c r="N46" s="23" t="n"/>
      <c r="O46" s="23" t="n"/>
      <c r="P46" s="24">
        <f>IF(L46="","",IF(G46="inconclusivo","Inconclusivo",IF(L46="nao_aplicavel","Aplicabilidade",IF(L46="nao_verificavel","Não verificável",IF(G46=L46,"Concordância",IF(G46="nao_atende","Falso não atende",IF(G46="atende","Falso atende","Divergência de grau")))))))</f>
        <v/>
      </c>
      <c r="Q46" s="24">
        <f>IF(AND(OR(G46="atende",G46="parcial",G46="nao_atende"),OR(L46="atende",L46="parcial",L46="nao_atende")),1,0)</f>
        <v/>
      </c>
      <c r="R46" s="24">
        <f>IF(Q46=1,IF(G46=L46,1,0),"")</f>
        <v/>
      </c>
    </row>
    <row r="47">
      <c r="A47" s="20" t="inlineStr">
        <is>
          <t>Rio de Janeiro</t>
        </is>
      </c>
      <c r="B47" s="20" t="n">
        <v>44</v>
      </c>
      <c r="C47" s="20" t="inlineStr">
        <is>
          <t>2026-10-17</t>
        </is>
      </c>
      <c r="D47" s="20" t="inlineStr">
        <is>
          <t>16.1</t>
        </is>
      </c>
      <c r="E47" s="21" t="inlineStr">
        <is>
          <t>Exibição do “caminho” de páginas percorridas pelo usuário</t>
        </is>
      </c>
      <c r="F47" s="20" t="inlineStr">
        <is>
          <t>obrigatoria</t>
        </is>
      </c>
      <c r="G47" s="20" t="inlineStr">
        <is>
          <t>atende</t>
        </is>
      </c>
      <c r="H47" s="22" t="n">
        <v>0.8</v>
      </c>
      <c r="I47" s="21" t="inlineStr">
        <is>
          <t>Trilha presente em 36/36 páginas internas.</t>
        </is>
      </c>
      <c r="J47" s="20" t="inlineStr">
        <is>
          <t>https://transparencia.prefeitura.rio/acesso-a-informacao/</t>
        </is>
      </c>
      <c r="K47" s="21" t="inlineStr">
        <is>
          <t>Acesso à Informação Início &gt; Acesso à Informação Início &gt; Acesso à Informação Publicado em 19/08/2019 - 17:20 | Atualizado em 28/09/2026 - 17:52</t>
        </is>
      </c>
      <c r="L47" s="23" t="inlineStr">
        <is>
          <t>atende</t>
        </is>
      </c>
      <c r="M47" s="23" t="inlineStr">
        <is>
          <t>https://transparencia.prefeitura.rio/acesso-a-informacao/</t>
        </is>
      </c>
      <c r="N47" s="23" t="n"/>
      <c r="O47" s="23" t="n"/>
      <c r="P47" s="24">
        <f>IF(L47="","",IF(G47="inconclusivo","Inconclusivo",IF(L47="nao_aplicavel","Aplicabilidade",IF(L47="nao_verificavel","Não verificável",IF(G47=L47,"Concordância",IF(G47="nao_atende","Falso não atende",IF(G47="atende","Falso atende","Divergência de grau")))))))</f>
        <v/>
      </c>
      <c r="Q47" s="24">
        <f>IF(AND(OR(G47="atende",G47="parcial",G47="nao_atende"),OR(L47="atende",L47="parcial",L47="nao_atende")),1,0)</f>
        <v/>
      </c>
      <c r="R47" s="24">
        <f>IF(Q47=1,IF(G47=L47,1,0),"")</f>
        <v/>
      </c>
    </row>
    <row r="48">
      <c r="A48" s="20" t="inlineStr">
        <is>
          <t>Rio de Janeiro</t>
        </is>
      </c>
      <c r="B48" s="20" t="n">
        <v>44</v>
      </c>
      <c r="C48" s="20" t="inlineStr">
        <is>
          <t>2026-10-17</t>
        </is>
      </c>
      <c r="D48" s="20" t="inlineStr">
        <is>
          <t>16.2</t>
        </is>
      </c>
      <c r="E48" s="21" t="inlineStr">
        <is>
          <t>Opção de alto contraste</t>
        </is>
      </c>
      <c r="F48" s="20" t="inlineStr">
        <is>
          <t>obrigatoria</t>
        </is>
      </c>
      <c r="G48" s="20" t="inlineStr">
        <is>
          <t>atende</t>
        </is>
      </c>
      <c r="H48" s="22" t="n">
        <v>0.8</v>
      </c>
      <c r="I48" s="21" t="inlineStr">
        <is>
          <t>Controle de alto contraste encontrado em 2 de 2 página(s) inicial(is) (sítio/portal).</t>
        </is>
      </c>
      <c r="J48" s="20" t="inlineStr">
        <is>
          <t>https://prefeitura.rio/</t>
        </is>
      </c>
      <c r="K48" s="21" t="inlineStr">
        <is>
          <t>Alto contraste Alto contraste [['pojo-a11y-toolbar-item']]</t>
        </is>
      </c>
      <c r="L48" s="23" t="inlineStr">
        <is>
          <t>atende</t>
        </is>
      </c>
      <c r="M48" s="23" t="inlineStr">
        <is>
          <t>https://prefeitura.rio/</t>
        </is>
      </c>
      <c r="N48" s="23" t="n"/>
      <c r="O48" s="23" t="n"/>
      <c r="P48" s="24">
        <f>IF(L48="","",IF(G48="inconclusivo","Inconclusivo",IF(L48="nao_aplicavel","Aplicabilidade",IF(L48="nao_verificavel","Não verificável",IF(G48=L48,"Concordância",IF(G48="nao_atende","Falso não atende",IF(G48="atende","Falso atende","Divergência de grau")))))))</f>
        <v/>
      </c>
      <c r="Q48" s="24">
        <f>IF(AND(OR(G48="atende",G48="parcial",G48="nao_atende"),OR(L48="atende",L48="parcial",L48="nao_atende")),1,0)</f>
        <v/>
      </c>
      <c r="R48" s="24">
        <f>IF(Q48=1,IF(G48=L48,1,0),"")</f>
        <v/>
      </c>
    </row>
    <row r="49">
      <c r="A49" s="20" t="inlineStr">
        <is>
          <t>Rio de Janeiro</t>
        </is>
      </c>
      <c r="B49" s="20" t="n">
        <v>44</v>
      </c>
      <c r="C49" s="20" t="inlineStr">
        <is>
          <t>2026-10-17</t>
        </is>
      </c>
      <c r="D49" s="20" t="inlineStr">
        <is>
          <t>16.3</t>
        </is>
      </c>
      <c r="E49" s="21" t="inlineStr">
        <is>
          <t>Ferramenta de redimensionamento de texto</t>
        </is>
      </c>
      <c r="F49" s="20" t="inlineStr">
        <is>
          <t>obrigatoria</t>
        </is>
      </c>
      <c r="G49" s="20" t="inlineStr">
        <is>
          <t>nao_atende</t>
        </is>
      </c>
      <c r="H49" s="22" t="n">
        <v>0.65</v>
      </c>
      <c r="I49" s="21" t="inlineStr">
        <is>
          <t>Não encontrado: Redimensionamento de texto. Foram examinadas 80 páginas (temas cobertos: contrato, dados_abertos, despesa, diarias, institucional, lgpd, licitacao, obras, ouvidoria, pessoal, planejamento, receita, sic, transparencia).</t>
        </is>
      </c>
      <c r="J49" s="20" t="inlineStr">
        <is>
          <t>https://prefeitura.rio/</t>
        </is>
      </c>
      <c r="K49" s="21" t="inlineStr"/>
      <c r="L49" s="23" t="inlineStr">
        <is>
          <t>nao_verificavel</t>
        </is>
      </c>
      <c r="M49" s="23" t="inlineStr">
        <is>
          <t>https://prefeitura.rio/</t>
        </is>
      </c>
      <c r="N49" s="23" t="inlineStr">
        <is>
          <t>Outro</t>
        </is>
      </c>
      <c r="O49" s="23" t="inlineStr">
        <is>
          <t>A inspeção textual do portal não permite confirmar a presença nem a ausência funcional dos controles de redimensionamento; é necessária conferência visual interativa.</t>
        </is>
      </c>
      <c r="P49" s="24">
        <f>IF(L49="","",IF(G49="inconclusivo","Inconclusivo",IF(L49="nao_aplicavel","Aplicabilidade",IF(L49="nao_verificavel","Não verificável",IF(G49=L49,"Concordância",IF(G49="nao_atende","Falso não atende",IF(G49="atende","Falso atende","Divergência de grau")))))))</f>
        <v/>
      </c>
      <c r="Q49" s="24">
        <f>IF(AND(OR(G49="atende",G49="parcial",G49="nao_atende"),OR(L49="atende",L49="parcial",L49="nao_atende")),1,0)</f>
        <v/>
      </c>
      <c r="R49" s="24">
        <f>IF(Q49=1,IF(G49=L49,1,0),"")</f>
        <v/>
      </c>
    </row>
    <row r="50">
      <c r="A50" s="20" t="inlineStr">
        <is>
          <t>Rio de Janeiro</t>
        </is>
      </c>
      <c r="B50" s="20" t="n">
        <v>44</v>
      </c>
      <c r="C50" s="20" t="inlineStr">
        <is>
          <t>2026-10-17</t>
        </is>
      </c>
      <c r="D50" s="20" t="inlineStr">
        <is>
          <t>18.1</t>
        </is>
      </c>
      <c r="E50" s="21" t="inlineStr">
        <is>
          <t>Identifica o encarregado/responsável pelo tratamento de dados pessoais e disponibiliza Canal de Comunicação (telefone e/ou e-mail)</t>
        </is>
      </c>
      <c r="F50" s="20" t="inlineStr">
        <is>
          <t>recomendada</t>
        </is>
      </c>
      <c r="G50" s="20" t="inlineStr">
        <is>
          <t>parcial</t>
        </is>
      </c>
      <c r="H50" s="22" t="n">
        <v>0.6</v>
      </c>
      <c r="I50" s="21" t="inlineStr">
        <is>
          <t>Encarregado mencionado, sem e-mail/telefone próximo.</t>
        </is>
      </c>
      <c r="J50" s="20" t="inlineStr">
        <is>
          <t>https://lgpd.prefeitura.rio/trilha-de-formacao-em-privacidade-e-protecao-de-dados-pessoais/</t>
        </is>
      </c>
      <c r="K50" s="21" t="inlineStr">
        <is>
          <t>m privacidade, elevando o grau de maturidade institucional e mitigando riscos operacionais. Cronograma de aulas 2024 Evento: Seminário Dia Internacional da Proteção de Dados Data: 26/01 Público Alvo: Encarregados de Dados e membros de Comitês de Privacidade e Proteção de Dados Presentes: 42 particip</t>
        </is>
      </c>
      <c r="L50" s="23" t="inlineStr">
        <is>
          <t>atende</t>
        </is>
      </c>
      <c r="M50" s="23" t="inlineStr">
        <is>
          <t>https://lgpd.prefeitura.rio/encarregados-de-dados/</t>
        </is>
      </c>
      <c r="N50" s="23" t="inlineStr">
        <is>
          <t>Crawler não chegou à página</t>
        </is>
      </c>
      <c r="O50" s="23" t="inlineStr">
        <is>
          <t>Página lista encarregados gerais e setoriais nominalmente, com e-mails e canal 1746.</t>
        </is>
      </c>
      <c r="P50" s="24">
        <f>IF(L50="","",IF(G50="inconclusivo","Inconclusivo",IF(L50="nao_aplicavel","Aplicabilidade",IF(L50="nao_verificavel","Não verificável",IF(G50=L50,"Concordância",IF(G50="nao_atende","Falso não atende",IF(G50="atende","Falso atende","Divergência de grau")))))))</f>
        <v/>
      </c>
      <c r="Q50" s="24">
        <f>IF(AND(OR(G50="atende",G50="parcial",G50="nao_atende"),OR(L50="atende",L50="parcial",L50="nao_atende")),1,0)</f>
        <v/>
      </c>
      <c r="R50" s="24">
        <f>IF(Q50=1,IF(G50=L50,1,0),"")</f>
        <v/>
      </c>
    </row>
    <row r="51">
      <c r="A51" s="20" t="inlineStr">
        <is>
          <t>Rio de Janeiro</t>
        </is>
      </c>
      <c r="B51" s="20" t="n">
        <v>44</v>
      </c>
      <c r="C51" s="20" t="inlineStr">
        <is>
          <t>2026-10-17</t>
        </is>
      </c>
      <c r="D51" s="20" t="inlineStr">
        <is>
          <t>18.3</t>
        </is>
      </c>
      <c r="E51" s="21" t="inlineStr">
        <is>
          <t>Possibilita o acesso automatizado por sistemas externos em dados abertos (estruturados e legíveis por máquina), e a página contém as regras de utilização</t>
        </is>
      </c>
      <c r="F51" s="20" t="inlineStr">
        <is>
          <t>recomendada</t>
        </is>
      </c>
      <c r="G51" s="20" t="inlineStr">
        <is>
          <t>atende</t>
        </is>
      </c>
      <c r="H51" s="22" t="n">
        <v>0.8</v>
      </c>
      <c r="I51" s="21" t="inlineStr">
        <is>
          <t>Dados legíveis por máquina e regras de utilização publicadas.</t>
        </is>
      </c>
      <c r="J51" s="20" t="inlineStr">
        <is>
          <t>https://transparencia.prefeitura.rio/wp-content/uploads/sites/100/2023/07/Base-de-dados-Renuncia-de-Receita-Base-unica-21a25.xlsx</t>
        </is>
      </c>
      <c r="K51" s="21" t="inlineStr">
        <is>
          <t>Base de Dados Única – Dados Abertos (Formato XLS)</t>
        </is>
      </c>
      <c r="L51" s="23" t="inlineStr">
        <is>
          <t>atende</t>
        </is>
      </c>
      <c r="M51" s="23" t="inlineStr">
        <is>
          <t>https://transparencia.prefeitura.rio/dados-abertos/</t>
        </is>
      </c>
      <c r="N51" s="23" t="n"/>
      <c r="O51" s="23" t="n"/>
      <c r="P51" s="24">
        <f>IF(L51="","",IF(G51="inconclusivo","Inconclusivo",IF(L51="nao_aplicavel","Aplicabilidade",IF(L51="nao_verificavel","Não verificável",IF(G51=L51,"Concordância",IF(G51="nao_atende","Falso não atende",IF(G51="atende","Falso atende","Divergência de grau")))))))</f>
        <v/>
      </c>
      <c r="Q51" s="24">
        <f>IF(AND(OR(G51="atende",G51="parcial",G51="nao_atende"),OR(L51="atende",L51="parcial",L51="nao_atende")),1,0)</f>
        <v/>
      </c>
      <c r="R51" s="24">
        <f>IF(Q51=1,IF(G51=L51,1,0),"")</f>
        <v/>
      </c>
    </row>
    <row r="52">
      <c r="A52" s="20" t="inlineStr">
        <is>
          <t>Rio de Janeiro</t>
        </is>
      </c>
      <c r="B52" s="20" t="n">
        <v>44</v>
      </c>
      <c r="C52" s="20" t="inlineStr">
        <is>
          <t>2026-10-17</t>
        </is>
      </c>
      <c r="D52" s="20" t="inlineStr">
        <is>
          <t>19.1</t>
        </is>
      </c>
      <c r="E52" s="21" t="inlineStr">
        <is>
          <t>Existência de PPA (Lei do Plano Plurianual)</t>
        </is>
      </c>
      <c r="F52" s="20" t="inlineStr">
        <is>
          <t>essencial</t>
        </is>
      </c>
      <c r="G52" s="20" t="inlineStr">
        <is>
          <t>parcial</t>
        </is>
      </c>
      <c r="H52" s="22" t="n">
        <v>0.55</v>
      </c>
      <c r="I52" s="21" t="inlineStr">
        <is>
          <t>Link para PPA encontrado, mas o arquivo não foi alcançado (pode estar em consulta dinâmica ou página não coletada).</t>
        </is>
      </c>
      <c r="J52" s="20" t="inlineStr">
        <is>
          <t>https://transparencia.prefeitura.rio/contas-publicas/plano-plurianual-ppa</t>
        </is>
      </c>
      <c r="K52" s="21" t="inlineStr">
        <is>
          <t>PLANO PLURIANUAL (PPA)</t>
        </is>
      </c>
      <c r="L52" s="23" t="inlineStr">
        <is>
          <t>parcial</t>
        </is>
      </c>
      <c r="M52" s="23" t="inlineStr">
        <is>
          <t>https://transparencia.prefeitura.rio/planejamento-e-prestacao-de-contas/plano-plurianual-ppa/</t>
        </is>
      </c>
      <c r="N52" s="23" t="n"/>
      <c r="O52" s="23" t="n"/>
      <c r="P52" s="24">
        <f>IF(L52="","",IF(G52="inconclusivo","Inconclusivo",IF(L52="nao_aplicavel","Aplicabilidade",IF(L52="nao_verificavel","Não verificável",IF(G52=L52,"Concordância",IF(G52="nao_atende","Falso não atende",IF(G52="atende","Falso atende","Divergência de grau")))))))</f>
        <v/>
      </c>
      <c r="Q52" s="24">
        <f>IF(AND(OR(G52="atende",G52="parcial",G52="nao_atende"),OR(L52="atende",L52="parcial",L52="nao_atende")),1,0)</f>
        <v/>
      </c>
      <c r="R52" s="24">
        <f>IF(Q52=1,IF(G52=L52,1,0),"")</f>
        <v/>
      </c>
    </row>
    <row r="53">
      <c r="A53" s="20" t="inlineStr">
        <is>
          <t>Rio de Janeiro</t>
        </is>
      </c>
      <c r="B53" s="20" t="n">
        <v>44</v>
      </c>
      <c r="C53" s="20" t="inlineStr">
        <is>
          <t>2026-10-17</t>
        </is>
      </c>
      <c r="D53" s="20" t="inlineStr">
        <is>
          <t>19.3</t>
        </is>
      </c>
      <c r="E53" s="21" t="inlineStr">
        <is>
          <t>Existência de LDO (Lei do Diretrizes Orçamentárias)</t>
        </is>
      </c>
      <c r="F53" s="20" t="inlineStr">
        <is>
          <t>essencial</t>
        </is>
      </c>
      <c r="G53" s="25" t="inlineStr">
        <is>
          <t>atende</t>
        </is>
      </c>
      <c r="H53" s="22" t="n">
        <v>0.85</v>
      </c>
      <c r="I53" s="21" t="inlineStr">
        <is>
          <t>61 arquivo(s) de LDO encontrado(s).</t>
        </is>
      </c>
      <c r="J53" s="20" t="inlineStr">
        <is>
          <t>http://www2.rio.rj.gov.br/smf/banco/pdforc/ldo/ldo2027-lei9535.pdf</t>
        </is>
      </c>
      <c r="K53" s="21" t="inlineStr">
        <is>
          <t>Lei nş 9.535</t>
        </is>
      </c>
      <c r="L53" s="23" t="inlineStr">
        <is>
          <t>atende</t>
        </is>
      </c>
      <c r="M53" s="23" t="inlineStr">
        <is>
          <t>http://www2.rio.rj.gov.br/smf/banco/pdforc/ldo/ldo2027-lei9535.pdf</t>
        </is>
      </c>
      <c r="N53" s="23" t="n"/>
      <c r="O53" s="23" t="inlineStr">
        <is>
          <t>Revisado em 17/10/2026 (rodada 2): o robô alcançou o PDF da LDO 2027 (Lei 9.535/2026); a lei existe e está publicada. Anexos são avaliados nos critérios próprios (19.4/19.6). Antes marcado parcial por só ver o link no portal.</t>
        </is>
      </c>
      <c r="P53" s="24">
        <f>IF(L53="","",IF(G53="inconclusivo","Inconclusivo",IF(L53="nao_aplicavel","Aplicabilidade",IF(L53="nao_verificavel","Não verificável",IF(G53=L53,"Concordância",IF(G53="nao_atende","Falso não atende",IF(G53="atende","Falso atende","Divergência de grau")))))))</f>
        <v/>
      </c>
      <c r="Q53" s="24">
        <f>IF(AND(OR(G53="atende",G53="parcial",G53="nao_atende"),OR(L53="atende",L53="parcial",L53="nao_atende")),1,0)</f>
        <v/>
      </c>
      <c r="R53" s="24">
        <f>IF(Q53=1,IF(G53=L53,1,0),"")</f>
        <v/>
      </c>
    </row>
    <row r="54">
      <c r="A54" s="20" t="inlineStr">
        <is>
          <t>Rio de Janeiro</t>
        </is>
      </c>
      <c r="B54" s="20" t="n">
        <v>44</v>
      </c>
      <c r="C54" s="20" t="inlineStr">
        <is>
          <t>2026-10-17</t>
        </is>
      </c>
      <c r="D54" s="20" t="inlineStr">
        <is>
          <t>19.5</t>
        </is>
      </c>
      <c r="E54" s="21" t="inlineStr">
        <is>
          <t>Existência de LOA (Lei Orçamentária)</t>
        </is>
      </c>
      <c r="F54" s="20" t="inlineStr">
        <is>
          <t>essencial</t>
        </is>
      </c>
      <c r="G54" s="25" t="inlineStr">
        <is>
          <t>atende</t>
        </is>
      </c>
      <c r="H54" s="22" t="n">
        <v>0.85</v>
      </c>
      <c r="I54" s="21" t="inlineStr">
        <is>
          <t>62 arquivo(s) de LOA encontrado(s).</t>
        </is>
      </c>
      <c r="J54" s="20" t="inlineStr">
        <is>
          <t>http://www2.rio.rj.gov.br/smf/banco/pdforc/loa/lei9276_2026.pdf</t>
        </is>
      </c>
      <c r="K54" s="21" t="inlineStr">
        <is>
          <t>Lei nş 9.276 de 13 de janeiro de 2026</t>
        </is>
      </c>
      <c r="L54" s="23" t="inlineStr">
        <is>
          <t>atende</t>
        </is>
      </c>
      <c r="M54" s="23" t="inlineStr">
        <is>
          <t>http://www2.rio.rj.gov.br/smf/banco/pdforc/loa/lei9276_2026.pdf</t>
        </is>
      </c>
      <c r="N54" s="23" t="n"/>
      <c r="O54" s="23" t="inlineStr">
        <is>
          <t>Revisado em 17/10/2026 (rodada 2): o robô alcançou o PDF da LOA 2026 (Lei 9.276/2026); a lei existe e está publicada. Anexos são avaliados nos critérios próprios (19.4/19.6). Antes marcado parcial por só ver o link no portal.</t>
        </is>
      </c>
      <c r="P54" s="24">
        <f>IF(L54="","",IF(G54="inconclusivo","Inconclusivo",IF(L54="nao_aplicavel","Aplicabilidade",IF(L54="nao_verificavel","Não verificável",IF(G54=L54,"Concordância",IF(G54="nao_atende","Falso não atende",IF(G54="atende","Falso atende","Divergência de grau")))))))</f>
        <v/>
      </c>
      <c r="Q54" s="24">
        <f>IF(AND(OR(G54="atende",G54="parcial",G54="nao_atende"),OR(L54="atende",L54="parcial",L54="nao_atende")),1,0)</f>
        <v/>
      </c>
      <c r="R54" s="24">
        <f>IF(Q54=1,IF(G54=L54,1,0),"")</f>
        <v/>
      </c>
    </row>
    <row r="55">
      <c r="A55" s="20" t="inlineStr">
        <is>
          <t>Rio de Janeiro</t>
        </is>
      </c>
      <c r="B55" s="20" t="n">
        <v>44</v>
      </c>
      <c r="C55" s="20" t="inlineStr">
        <is>
          <t>2026-10-17</t>
        </is>
      </c>
      <c r="D55" s="20" t="inlineStr">
        <is>
          <t>20.1</t>
        </is>
      </c>
      <c r="E55" s="21" t="inlineStr">
        <is>
          <t>Relatório Resumido da Execução Orçamentária (RREO)</t>
        </is>
      </c>
      <c r="F55" s="20" t="inlineStr">
        <is>
          <t>essencial</t>
        </is>
      </c>
      <c r="G55" s="25" t="inlineStr">
        <is>
          <t>parcial</t>
        </is>
      </c>
      <c r="H55" s="22" t="n">
        <v>0.55</v>
      </c>
      <c r="I55" s="21" t="inlineStr">
        <is>
          <t>Link para RREO encontrado, mas o arquivo não foi alcançado (pode estar em consulta dinâmica ou página não coletada).</t>
        </is>
      </c>
      <c r="J55" s="20" t="inlineStr">
        <is>
          <t>https://controladoria.prefeitura.rio/quadros-da-lrf/</t>
        </is>
      </c>
      <c r="K55" s="21" t="inlineStr">
        <is>
          <t>Relatório Resumido de Execução Orçamentária (RREO)</t>
        </is>
      </c>
      <c r="L55" s="23" t="inlineStr">
        <is>
          <t>atende</t>
        </is>
      </c>
      <c r="M55" s="23" t="inlineStr">
        <is>
          <t>https://controladoria.prefeitura.rio/lrf-bimestrais-ano-2026/</t>
        </is>
      </c>
      <c r="N55" s="23" t="inlineStr">
        <is>
          <t>Crawler não chegou à página</t>
        </is>
      </c>
      <c r="O55" s="23" t="inlineStr">
        <is>
          <t>CGM publica o RREO bimestral de 2026, com anexos do 1º ao 4º bimestre e arquivos editáveis.</t>
        </is>
      </c>
      <c r="P55" s="24">
        <f>IF(L55="","",IF(G55="inconclusivo","Inconclusivo",IF(L55="nao_aplicavel","Aplicabilidade",IF(L55="nao_verificavel","Não verificável",IF(G55=L55,"Concordância",IF(G55="nao_atende","Falso não atende",IF(G55="atende","Falso atende","Divergência de grau")))))))</f>
        <v/>
      </c>
      <c r="Q55" s="24">
        <f>IF(AND(OR(G55="atende",G55="parcial",G55="nao_atende"),OR(L55="atende",L55="parcial",L55="nao_atende")),1,0)</f>
        <v/>
      </c>
      <c r="R55" s="24">
        <f>IF(Q55=1,IF(G55=L55,1,0),"")</f>
        <v/>
      </c>
    </row>
  </sheetData>
  <autoFilter ref="A1:R55"/>
  <conditionalFormatting sqref="P2:P55">
    <cfRule type="cellIs" priority="1" operator="equal" dxfId="0">
      <formula>"Concordância"</formula>
    </cfRule>
    <cfRule type="cellIs" priority="2" operator="equal" dxfId="1">
      <formula>"Falso não atende"</formula>
    </cfRule>
    <cfRule type="cellIs" priority="3" operator="equal" dxfId="1">
      <formula>"Falso atende"</formula>
    </cfRule>
    <cfRule type="cellIs" priority="4" operator="equal" dxfId="2">
      <formula>"Divergência de grau"</formula>
    </cfRule>
  </conditionalFormatting>
  <dataValidations count="2">
    <dataValidation sqref="L2:L55" showDropDown="0" showInputMessage="0" showErrorMessage="0" allowBlank="1" type="list">
      <formula1>"atende,parcial,nao_atende,nao_aplicavel,nao_verificavel"</formula1>
    </dataValidation>
    <dataValidation sqref="N2:N55" showDropDown="0" showInputMessage="0" showErrorMessage="0" allowBlank="1" type="list">
      <formula1>=Listas!$A$1:$A$8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Crawler não chegou à página</t>
        </is>
      </c>
    </row>
    <row r="2">
      <c r="A2" t="inlineStr">
        <is>
          <t>Informação em sistema externo/consulta</t>
        </is>
      </c>
    </row>
    <row r="3">
      <c r="A3" t="inlineStr">
        <is>
          <t>Conteúdo dinâmico (JavaScript)</t>
        </is>
      </c>
    </row>
    <row r="4">
      <c r="A4" t="inlineStr">
        <is>
          <t>Regra: padrão não reconhecido</t>
        </is>
      </c>
    </row>
    <row r="5">
      <c r="A5" t="inlineStr">
        <is>
          <t>Regra: falso indício</t>
        </is>
      </c>
    </row>
    <row r="6">
      <c r="A6" t="inlineStr">
        <is>
          <t>Critério ambíguo</t>
        </is>
      </c>
    </row>
    <row r="7">
      <c r="A7" t="inlineStr">
        <is>
          <t>Página indisponível</t>
        </is>
      </c>
    </row>
    <row r="8">
      <c r="A8" t="inlineStr">
        <is>
          <t>Outro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40" customWidth="1" min="4" max="4"/>
    <col width="12" customWidth="1" min="5" max="5"/>
    <col width="12" customWidth="1" min="6" max="6"/>
    <col width="22" customWidth="1" min="7" max="7"/>
  </cols>
  <sheetData>
    <row r="1">
      <c r="A1" s="4" t="inlineStr">
        <is>
          <t>Data</t>
        </is>
      </c>
      <c r="B1" s="4" t="inlineStr">
        <is>
          <t>Critério</t>
        </is>
      </c>
      <c r="C1" s="4" t="inlineStr">
        <is>
          <t>Problema observado</t>
        </is>
      </c>
      <c r="D1" s="4" t="inlineStr">
        <is>
          <t>Ajuste feito</t>
        </is>
      </c>
      <c r="E1" s="4" t="inlineStr">
        <is>
          <t>Regra antes</t>
        </is>
      </c>
      <c r="F1" s="4" t="inlineStr">
        <is>
          <t>Regra depois</t>
        </is>
      </c>
      <c r="G1" s="4" t="inlineStr">
        <is>
          <t>Efeito na concordância</t>
        </is>
      </c>
    </row>
    <row r="2">
      <c r="A2" s="26" t="n"/>
      <c r="B2" s="26" t="n"/>
      <c r="C2" s="26" t="n"/>
      <c r="D2" s="26" t="n"/>
      <c r="E2" s="26" t="n"/>
      <c r="F2" s="26" t="n"/>
      <c r="G2" s="26" t="n"/>
    </row>
    <row r="3">
      <c r="A3" s="26" t="n"/>
      <c r="B3" s="26" t="n"/>
      <c r="C3" s="26" t="n"/>
      <c r="D3" s="26" t="n"/>
      <c r="E3" s="26" t="n"/>
      <c r="F3" s="26" t="n"/>
      <c r="G3" s="26" t="n"/>
    </row>
    <row r="4">
      <c r="A4" s="26" t="n"/>
      <c r="B4" s="26" t="n"/>
      <c r="C4" s="26" t="n"/>
      <c r="D4" s="26" t="n"/>
      <c r="E4" s="26" t="n"/>
      <c r="F4" s="26" t="n"/>
      <c r="G4" s="26" t="n"/>
    </row>
    <row r="5">
      <c r="A5" s="26" t="n"/>
      <c r="B5" s="26" t="n"/>
      <c r="C5" s="26" t="n"/>
      <c r="D5" s="26" t="n"/>
      <c r="E5" s="26" t="n"/>
      <c r="F5" s="26" t="n"/>
      <c r="G5" s="26" t="n"/>
    </row>
    <row r="6">
      <c r="A6" s="26" t="n"/>
      <c r="B6" s="26" t="n"/>
      <c r="C6" s="26" t="n"/>
      <c r="D6" s="26" t="n"/>
      <c r="E6" s="26" t="n"/>
      <c r="F6" s="26" t="n"/>
      <c r="G6" s="26" t="n"/>
    </row>
    <row r="7">
      <c r="A7" s="26" t="n"/>
      <c r="B7" s="26" t="n"/>
      <c r="C7" s="26" t="n"/>
      <c r="D7" s="26" t="n"/>
      <c r="E7" s="26" t="n"/>
      <c r="F7" s="26" t="n"/>
      <c r="G7" s="26" t="n"/>
    </row>
    <row r="8">
      <c r="A8" s="26" t="n"/>
      <c r="B8" s="26" t="n"/>
      <c r="C8" s="26" t="n"/>
      <c r="D8" s="26" t="n"/>
      <c r="E8" s="26" t="n"/>
      <c r="F8" s="26" t="n"/>
      <c r="G8" s="26" t="n"/>
    </row>
    <row r="9">
      <c r="A9" s="26" t="n"/>
      <c r="B9" s="26" t="n"/>
      <c r="C9" s="26" t="n"/>
      <c r="D9" s="26" t="n"/>
      <c r="E9" s="26" t="n"/>
      <c r="F9" s="26" t="n"/>
      <c r="G9" s="26" t="n"/>
    </row>
    <row r="10">
      <c r="A10" s="26" t="n"/>
      <c r="B10" s="26" t="n"/>
      <c r="C10" s="26" t="n"/>
      <c r="D10" s="26" t="n"/>
      <c r="E10" s="26" t="n"/>
      <c r="F10" s="26" t="n"/>
      <c r="G10" s="26" t="n"/>
    </row>
    <row r="11">
      <c r="A11" s="26" t="n"/>
      <c r="B11" s="26" t="n"/>
      <c r="C11" s="26" t="n"/>
      <c r="D11" s="26" t="n"/>
      <c r="E11" s="26" t="n"/>
      <c r="F11" s="26" t="n"/>
      <c r="G11" s="26" t="n"/>
    </row>
    <row r="12">
      <c r="A12" s="26" t="n"/>
      <c r="B12" s="26" t="n"/>
      <c r="C12" s="26" t="n"/>
      <c r="D12" s="26" t="n"/>
      <c r="E12" s="26" t="n"/>
      <c r="F12" s="26" t="n"/>
      <c r="G12" s="26" t="n"/>
    </row>
    <row r="13">
      <c r="A13" s="26" t="n"/>
      <c r="B13" s="26" t="n"/>
      <c r="C13" s="26" t="n"/>
      <c r="D13" s="26" t="n"/>
      <c r="E13" s="26" t="n"/>
      <c r="F13" s="26" t="n"/>
      <c r="G13" s="26" t="n"/>
    </row>
    <row r="14">
      <c r="A14" s="26" t="n"/>
      <c r="B14" s="26" t="n"/>
      <c r="C14" s="26" t="n"/>
      <c r="D14" s="26" t="n"/>
      <c r="E14" s="26" t="n"/>
      <c r="F14" s="26" t="n"/>
      <c r="G14" s="26" t="n"/>
    </row>
    <row r="15">
      <c r="A15" s="26" t="n"/>
      <c r="B15" s="26" t="n"/>
      <c r="C15" s="26" t="n"/>
      <c r="D15" s="26" t="n"/>
      <c r="E15" s="26" t="n"/>
      <c r="F15" s="26" t="n"/>
      <c r="G15" s="26" t="n"/>
    </row>
    <row r="16">
      <c r="A16" s="26" t="n"/>
      <c r="B16" s="26" t="n"/>
      <c r="C16" s="26" t="n"/>
      <c r="D16" s="26" t="n"/>
      <c r="E16" s="26" t="n"/>
      <c r="F16" s="26" t="n"/>
      <c r="G16" s="26" t="n"/>
    </row>
    <row r="17">
      <c r="A17" s="26" t="n"/>
      <c r="B17" s="26" t="n"/>
      <c r="C17" s="26" t="n"/>
      <c r="D17" s="26" t="n"/>
      <c r="E17" s="26" t="n"/>
      <c r="F17" s="26" t="n"/>
      <c r="G17" s="26" t="n"/>
    </row>
    <row r="18">
      <c r="A18" s="26" t="n"/>
      <c r="B18" s="26" t="n"/>
      <c r="C18" s="26" t="n"/>
      <c r="D18" s="26" t="n"/>
      <c r="E18" s="26" t="n"/>
      <c r="F18" s="26" t="n"/>
      <c r="G18" s="26" t="n"/>
    </row>
    <row r="19">
      <c r="A19" s="26" t="n"/>
      <c r="B19" s="26" t="n"/>
      <c r="C19" s="26" t="n"/>
      <c r="D19" s="26" t="n"/>
      <c r="E19" s="26" t="n"/>
      <c r="F19" s="26" t="n"/>
      <c r="G19" s="26" t="n"/>
    </row>
    <row r="20">
      <c r="A20" s="26" t="n"/>
      <c r="B20" s="26" t="n"/>
      <c r="C20" s="26" t="n"/>
      <c r="D20" s="26" t="n"/>
      <c r="E20" s="26" t="n"/>
      <c r="F20" s="26" t="n"/>
      <c r="G20" s="26" t="n"/>
    </row>
    <row r="21">
      <c r="A21" s="26" t="n"/>
      <c r="B21" s="26" t="n"/>
      <c r="C21" s="26" t="n"/>
      <c r="D21" s="26" t="n"/>
      <c r="E21" s="26" t="n"/>
      <c r="F21" s="26" t="n"/>
      <c r="G21" s="26" t="n"/>
    </row>
    <row r="22">
      <c r="A22" s="26" t="n"/>
      <c r="B22" s="26" t="n"/>
      <c r="C22" s="26" t="n"/>
      <c r="D22" s="26" t="n"/>
      <c r="E22" s="26" t="n"/>
      <c r="F22" s="26" t="n"/>
      <c r="G22" s="26" t="n"/>
    </row>
    <row r="23">
      <c r="A23" s="26" t="n"/>
      <c r="B23" s="26" t="n"/>
      <c r="C23" s="26" t="n"/>
      <c r="D23" s="26" t="n"/>
      <c r="E23" s="26" t="n"/>
      <c r="F23" s="26" t="n"/>
      <c r="G23" s="26" t="n"/>
    </row>
    <row r="24">
      <c r="A24" s="26" t="n"/>
      <c r="B24" s="26" t="n"/>
      <c r="C24" s="26" t="n"/>
      <c r="D24" s="26" t="n"/>
      <c r="E24" s="26" t="n"/>
      <c r="F24" s="26" t="n"/>
      <c r="G24" s="26" t="n"/>
    </row>
    <row r="25">
      <c r="A25" s="26" t="n"/>
      <c r="B25" s="26" t="n"/>
      <c r="C25" s="26" t="n"/>
      <c r="D25" s="26" t="n"/>
      <c r="E25" s="26" t="n"/>
      <c r="F25" s="26" t="n"/>
      <c r="G25" s="26" t="n"/>
    </row>
    <row r="26">
      <c r="A26" s="26" t="n"/>
      <c r="B26" s="26" t="n"/>
      <c r="C26" s="26" t="n"/>
      <c r="D26" s="26" t="n"/>
      <c r="E26" s="26" t="n"/>
      <c r="F26" s="26" t="n"/>
      <c r="G26" s="26" t="n"/>
    </row>
    <row r="27">
      <c r="A27" s="26" t="n"/>
      <c r="B27" s="26" t="n"/>
      <c r="C27" s="26" t="n"/>
      <c r="D27" s="26" t="n"/>
      <c r="E27" s="26" t="n"/>
      <c r="F27" s="26" t="n"/>
      <c r="G27" s="26" t="n"/>
    </row>
    <row r="28">
      <c r="A28" s="26" t="n"/>
      <c r="B28" s="26" t="n"/>
      <c r="C28" s="26" t="n"/>
      <c r="D28" s="26" t="n"/>
      <c r="E28" s="26" t="n"/>
      <c r="F28" s="26" t="n"/>
      <c r="G28" s="26" t="n"/>
    </row>
    <row r="29">
      <c r="A29" s="26" t="n"/>
      <c r="B29" s="26" t="n"/>
      <c r="C29" s="26" t="n"/>
      <c r="D29" s="26" t="n"/>
      <c r="E29" s="26" t="n"/>
      <c r="F29" s="26" t="n"/>
      <c r="G29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2026-10-17T17:05:44Z</dcterms:created>
  <dcterms:modified xmlns:dcterms="http://purl.org/dc/terms/" xmlns:xsi="http://www.w3.org/2001/XMLSchema-instance" xsi:type="dcterms:W3CDTF">2026-10-17T17:09:42Z</dcterms:modified>
</cp:coreProperties>
</file>