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étricas" sheetId="2" state="visible" r:id="rId4"/>
    <sheet name="Avaliação" sheetId="3" state="visible" r:id="rId5"/>
    <sheet name="Listas" sheetId="4" state="visible" r:id="rId6"/>
    <sheet name="Ajust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======
ID#AAACI4c4Bnc
validacao    (2026-10-17 13:33:27)
Escolha na lista. nao_verificavel = você também não conseguiu concluir.</t>
        </r>
      </text>
    </comment>
  </commentList>
</comments>
</file>

<file path=xl/sharedStrings.xml><?xml version="1.0" encoding="utf-8"?>
<sst xmlns="http://schemas.openxmlformats.org/spreadsheetml/2006/main" count="779" uniqueCount="305">
  <si>
    <t xml:space="preserve">Validação manual dos resultados do robô</t>
  </si>
  <si>
    <t xml:space="preserve">Gerada em 17/10/2026 a partir de: banco padrão. Linhas: 54 (critérios aplicáveis e automatizados da última coleta de cada entidade).</t>
  </si>
  <si>
    <t xml:space="preserve">Como preencher (aba 'Avaliação')</t>
  </si>
  <si>
    <t xml:space="preserve">1. Colunas cinza = resultado do robô (não editar). Colunas amarelas = suas entradas.</t>
  </si>
  <si>
    <t xml:space="preserve">2. Abra a URL da evidência (ou navegue pelo portal) e verifique o critério como um avaliador faria.</t>
  </si>
  <si>
    <t xml:space="preserve">3. 'Status conferido': escolha na lista — atende, parcial, nao_atende, nao_aplicavel ou nao_verificavel (use nao_verificavel quando nem você conseguir concluir, ex.: portal fora do ar).</t>
  </si>
  <si>
    <t xml:space="preserve">4. Se discordar do robô, escolha a 'Causa da divergência' e descreva em 'Observação'.</t>
  </si>
  <si>
    <t xml:space="preserve">5. As colunas 'Classe', 'Par conclusivo' e 'Acerto exato' e toda a aba 'Métricas' são calculadas sozinhas.</t>
  </si>
  <si>
    <t xml:space="preserve">6. Depois de ajustar regras, registre o que mudou na aba 'Ajustes' e reexecute: python -m src.pipeline reevaluate --latest (sem acessar os portais) e gere nova planilha.</t>
  </si>
  <si>
    <t xml:space="preserve">Classes calculadas</t>
  </si>
  <si>
    <t xml:space="preserve">Concordância: robô e você deram o mesmo status.</t>
  </si>
  <si>
    <t xml:space="preserve">Falso não atende: robô disse nao_atende, mas a informação existe (o erro mais grave numa fiscalização).</t>
  </si>
  <si>
    <t xml:space="preserve">Falso atende: robô disse atende, mas a informação não existe ou é insuficiente.</t>
  </si>
  <si>
    <t xml:space="preserve">Divergência de grau: um disse parcial e o outro atende/nao_atende.</t>
  </si>
  <si>
    <t xml:space="preserve">Inconclusivo: robô não decidiu — mede a cobertura, não a precisão.</t>
  </si>
  <si>
    <t xml:space="preserve">Aplicabilidade / Não verificável: casos fora do cálculo de precisão.</t>
  </si>
  <si>
    <t xml:space="preserve">Linha de exemplo (formato esperado — não faz parte do cálculo)</t>
  </si>
  <si>
    <t xml:space="preserve">Entidade</t>
  </si>
  <si>
    <t xml:space="preserve">Avaliação nº</t>
  </si>
  <si>
    <t xml:space="preserve">Data da coleta</t>
  </si>
  <si>
    <t xml:space="preserve">Critério</t>
  </si>
  <si>
    <t xml:space="preserve">Descrição do critério</t>
  </si>
  <si>
    <t xml:space="preserve">Classificação</t>
  </si>
  <si>
    <t xml:space="preserve">Status do robô</t>
  </si>
  <si>
    <t xml:space="preserve">Confiança</t>
  </si>
  <si>
    <t xml:space="preserve">Conclusão do robô</t>
  </si>
  <si>
    <t xml:space="preserve">URL da evidência</t>
  </si>
  <si>
    <t xml:space="preserve">Trecho da evidência</t>
  </si>
  <si>
    <t xml:space="preserve">Status conferido</t>
  </si>
  <si>
    <t xml:space="preserve">URL onde conferiu</t>
  </si>
  <si>
    <t xml:space="preserve">Causa da divergência</t>
  </si>
  <si>
    <t xml:space="preserve">Observação</t>
  </si>
  <si>
    <t xml:space="preserve">Japeri</t>
  </si>
  <si>
    <t xml:space="preserve">2026-10-14</t>
  </si>
  <si>
    <t xml:space="preserve">4.1</t>
  </si>
  <si>
    <t xml:space="preserve">Número e o valor de empenho, liquidação e pagamento</t>
  </si>
  <si>
    <t xml:space="preserve">essencial</t>
  </si>
  <si>
    <t xml:space="preserve">nao_atende</t>
  </si>
  <si>
    <t xml:space="preserve">Não encontrado: dados de empenho/liquidação/pagamento...</t>
  </si>
  <si>
    <t xml:space="preserve">https://japeri.geosiap.net.br/portal-transparencia</t>
  </si>
  <si>
    <t xml:space="preserve">atende</t>
  </si>
  <si>
    <t xml:space="preserve">https://japeri.geosiap.net.br/portal-transparencia/despesas</t>
  </si>
  <si>
    <t xml:space="preserve">Informação em sistema externo/consulta</t>
  </si>
  <si>
    <t xml:space="preserve">Dados aparecem só após escolher o exercício no filtro.</t>
  </si>
  <si>
    <t xml:space="preserve">Métricas de validação (atualizam conforme a aba 'Avaliação' é preenchida)</t>
  </si>
  <si>
    <t xml:space="preserve">Indicador</t>
  </si>
  <si>
    <t xml:space="preserve">Valor</t>
  </si>
  <si>
    <t xml:space="preserve">Como ler</t>
  </si>
  <si>
    <t xml:space="preserve">Linhas exportadas</t>
  </si>
  <si>
    <t xml:space="preserve">Critérios aplicáveis e automatizados exportados</t>
  </si>
  <si>
    <t xml:space="preserve">Linhas conferidas</t>
  </si>
  <si>
    <t xml:space="preserve">Linhas com 'Status conferido' preenchido</t>
  </si>
  <si>
    <t xml:space="preserve">Progresso da conferência</t>
  </si>
  <si>
    <t xml:space="preserve">Pares conclusivos</t>
  </si>
  <si>
    <t xml:space="preserve">Robô e humano com atende/parcial/nao_atende</t>
  </si>
  <si>
    <t xml:space="preserve">Concordância exata</t>
  </si>
  <si>
    <t xml:space="preserve">Acertos / pares conclusivos</t>
  </si>
  <si>
    <t xml:space="preserve">Falsos 'não atende'</t>
  </si>
  <si>
    <t xml:space="preserve">Erro mais grave: acusa ausência de informação existente</t>
  </si>
  <si>
    <t xml:space="preserve">Precisão do 'não atende'</t>
  </si>
  <si>
    <t xml:space="preserve">Dos 'não atende' do robô conferidos, quantos estavam certos</t>
  </si>
  <si>
    <t xml:space="preserve">Falsos 'atende'</t>
  </si>
  <si>
    <t xml:space="preserve">Robô aceitou indício insuficiente</t>
  </si>
  <si>
    <t xml:space="preserve">Precisão do 'atende'</t>
  </si>
  <si>
    <t xml:space="preserve">Dos 'atende' do robô conferidos, quantos estavam certos</t>
  </si>
  <si>
    <t xml:space="preserve">Divergências de grau</t>
  </si>
  <si>
    <t xml:space="preserve">Parcial × atende/não atende</t>
  </si>
  <si>
    <t xml:space="preserve">Taxa de inconclusivos (robô)</t>
  </si>
  <si>
    <t xml:space="preserve">Mede cobertura: quanto o robô não conseguiu decidir</t>
  </si>
  <si>
    <t xml:space="preserve">Inconclusivos que você resolveu</t>
  </si>
  <si>
    <t xml:space="preserve">Potencial de ganho com renderização JS/novas regras</t>
  </si>
  <si>
    <t xml:space="preserve">Kappa de Cohen</t>
  </si>
  <si>
    <t xml:space="preserve">Concordância além do acaso nos pares conclusivos (&gt;0,6 bom; &gt;0,8 muito bom)</t>
  </si>
  <si>
    <t xml:space="preserve">Matriz de confusão — linhas: robô; colunas: conferência humana</t>
  </si>
  <si>
    <t xml:space="preserve">Robô \ Humano</t>
  </si>
  <si>
    <t xml:space="preserve">parcial</t>
  </si>
  <si>
    <t xml:space="preserve">Total (pares)</t>
  </si>
  <si>
    <t xml:space="preserve">nao_aplicavel</t>
  </si>
  <si>
    <t xml:space="preserve">nao_verificavel</t>
  </si>
  <si>
    <t xml:space="preserve">não conferido</t>
  </si>
  <si>
    <t xml:space="preserve">inconclusivo</t>
  </si>
  <si>
    <t xml:space="preserve">Por critério (onde ajustar regras)</t>
  </si>
  <si>
    <t xml:space="preserve">Item</t>
  </si>
  <si>
    <t xml:space="preserve">Linhas</t>
  </si>
  <si>
    <t xml:space="preserve">Conferidas</t>
  </si>
  <si>
    <t xml:space="preserve">Concordância</t>
  </si>
  <si>
    <t xml:space="preserve">Falso não atende</t>
  </si>
  <si>
    <t xml:space="preserve">Falso atende</t>
  </si>
  <si>
    <t xml:space="preserve">Inconclusivos (robô)</t>
  </si>
  <si>
    <t xml:space="preserve">1.1</t>
  </si>
  <si>
    <t xml:space="preserve">1.2</t>
  </si>
  <si>
    <t xml:space="preserve">1.3</t>
  </si>
  <si>
    <t xml:space="preserve">2.1</t>
  </si>
  <si>
    <t xml:space="preserve">2.4</t>
  </si>
  <si>
    <t xml:space="preserve">2.5</t>
  </si>
  <si>
    <t xml:space="preserve">2.6</t>
  </si>
  <si>
    <t xml:space="preserve">2.9</t>
  </si>
  <si>
    <t xml:space="preserve">3.1</t>
  </si>
  <si>
    <t xml:space="preserve">3.5</t>
  </si>
  <si>
    <t xml:space="preserve">4.5</t>
  </si>
  <si>
    <t xml:space="preserve">4.6</t>
  </si>
  <si>
    <t xml:space="preserve">4.7</t>
  </si>
  <si>
    <t xml:space="preserve">12.1</t>
  </si>
  <si>
    <t xml:space="preserve">15.1</t>
  </si>
  <si>
    <t xml:space="preserve">15.2</t>
  </si>
  <si>
    <t xml:space="preserve">15.4</t>
  </si>
  <si>
    <t xml:space="preserve">16.1</t>
  </si>
  <si>
    <t xml:space="preserve">16.2</t>
  </si>
  <si>
    <t xml:space="preserve">16.3</t>
  </si>
  <si>
    <t xml:space="preserve">18.1</t>
  </si>
  <si>
    <t xml:space="preserve">18.3</t>
  </si>
  <si>
    <t xml:space="preserve">19.1</t>
  </si>
  <si>
    <t xml:space="preserve">19.3</t>
  </si>
  <si>
    <t xml:space="preserve">19.5</t>
  </si>
  <si>
    <t xml:space="preserve">20.1</t>
  </si>
  <si>
    <t xml:space="preserve">Por entidade</t>
  </si>
  <si>
    <t xml:space="preserve">Rio de Janeiro</t>
  </si>
  <si>
    <t xml:space="preserve">Classe</t>
  </si>
  <si>
    <t xml:space="preserve">Par conclusivo</t>
  </si>
  <si>
    <t xml:space="preserve">Acerto exato</t>
  </si>
  <si>
    <t xml:space="preserve">2026-10-17</t>
  </si>
  <si>
    <t xml:space="preserve">A entidade pública possui sítio oficial e/ou portal da transparência próprio ou compartilhado na internet?</t>
  </si>
  <si>
    <t xml:space="preserve">Sítio oficial e portal da transparência responderam (HTTP 200).</t>
  </si>
  <si>
    <t xml:space="preserve">https://japeri.rj.gov.br/</t>
  </si>
  <si>
    <t xml:space="preserve">HTTP 200</t>
  </si>
  <si>
    <t xml:space="preserve">O acesso ao portal transparência está visível na capa do site?</t>
  </si>
  <si>
    <t xml:space="preserve">A capa contém 7 link(s) rotulado(s) 'Transparência'. Screenshot anexado.</t>
  </si>
  <si>
    <t xml:space="preserve">https://japeri.rj.gov.br/links/</t>
  </si>
  <si>
    <t xml:space="preserve">Transparência</t>
  </si>
  <si>
    <t xml:space="preserve">O site contém ferramenta de pesquisa de conteúdo que permita o acesso à informação?</t>
  </si>
  <si>
    <t xml:space="preserve">Campo de pesquisa encontrado.</t>
  </si>
  <si>
    <t xml:space="preserve">campo 's' (text)</t>
  </si>
  <si>
    <t xml:space="preserve">Competências e/ou atribuições</t>
  </si>
  <si>
    <t xml:space="preserve">obrigatoria</t>
  </si>
  <si>
    <t xml:space="preserve">Página com título de competências/atribuições.</t>
  </si>
  <si>
    <t xml:space="preserve">https://japeri.geosiap.net.br/portal-transparencia/api-docs#!/RH_-_Servidores/get_rh_servidores_organograma</t>
  </si>
  <si>
    <t xml:space="preserve">, " codigo_cargo ": "string" } ] } Response Content Type application/json Parameters Parameter Value Description Parameter Type Data Type id_entidade ID da entidade a se efetuar a busca query integer competencia Data no formato AAAA-MM-DD query string Hide Response Curl Request URL Response Body Res</t>
  </si>
  <si>
    <t xml:space="preserve">https://japeri.rj.gov.br/team/secretaria-municipal-de-cultura/</t>
  </si>
  <si>
    <t xml:space="preserve">Endereços</t>
  </si>
  <si>
    <t xml:space="preserve">Endereço encontrado(s) em 'Prefeitura Municipal de Japeri'.</t>
  </si>
  <si>
    <t xml:space="preserve">Tributos / Transparência Fazenda Digital Portal do Servidor Acesso a Informação Rua Francisco da Costa Filho, 1993 - Santa Inês (21) 3952-6610 - contato@japeri.rj.gov.br Home Sobre a Cidade Gove</t>
  </si>
  <si>
    <t xml:space="preserve">Telefones</t>
  </si>
  <si>
    <t xml:space="preserve">Telefone encontrado(s) em 'Prefeitura Municipal de Japeri'.</t>
  </si>
  <si>
    <t xml:space="preserve">do Servidor Acesso a Informação Rua Francisco da Costa Filho, 1993 - Santa Inês (21) 3952-6610 - contato@japeri.rj.gov.br Home Sobre a Cidade Governo Prefeita Vice-Prefeito N</t>
  </si>
  <si>
    <t xml:space="preserve">Horário de atendimento</t>
  </si>
  <si>
    <t xml:space="preserve">Horário de atendimento encontrado(s) em 'Portal da Transparência'.</t>
  </si>
  <si>
    <t xml:space="preserve">@japeri.rj.gov.br Francisco da Costa Filho, Santa Inês JAPERI , RJ , 26381470 , 09:00 - 17:00 Página Inicial Painel COVID-19 SEI Saúde Execução Orçamentária Emendas Parlamen</t>
  </si>
  <si>
    <t xml:space="preserve">https://japeri.geosiap.net.br/portal-transparencia/</t>
  </si>
  <si>
    <t xml:space="preserve">Canal de Comunicação com cidadão do tipo ‘Fale Conosco’, que permite ao interessado comunicar-se com órgão por via eletrônica ou telefônica</t>
  </si>
  <si>
    <t xml:space="preserve">Link para canal de contato encontrado; formulário não verificado (pode estar em sistema externo).</t>
  </si>
  <si>
    <t xml:space="preserve">https://japeri.rj.gov.br/contato/</t>
  </si>
  <si>
    <t xml:space="preserve">Contato</t>
  </si>
  <si>
    <t xml:space="preserve">Valores da receita pública arrecadada</t>
  </si>
  <si>
    <t xml:space="preserve">API pública do portal expõe receitas com valor arrecadado.</t>
  </si>
  <si>
    <t xml:space="preserve">https://japeri.geosiap.net.br/portal-transparencia/api/execucao/receitas/proprias/receitas_proprias?id_entidade=10&amp;ano=2026&amp;layout=anual</t>
  </si>
  <si>
    <t xml:space="preserve">158 registros; campos: ds_plano_conta, vl_previsto, vl_total</t>
  </si>
  <si>
    <t xml:space="preserve">Gravação de relatórios em diversos formatos em relação aos critérios da receita</t>
  </si>
  <si>
    <t xml:space="preserve">Exportação de receita só em json.</t>
  </si>
  <si>
    <t xml:space="preserve">https://online.swagger.io/validator/debug?url=https://japeri.geosiap.net.br/portal-transparencia/api-docs/v1/swagger.json</t>
  </si>
  <si>
    <t xml:space="preserve">API pública do portal expõe empenho, liquidação e pagamento.</t>
  </si>
  <si>
    <t xml:space="preserve">https://japeri.geosiap.net.br/portal-transparencia/api/execucao/empenhos/empenhos?id_entidade=10&amp;ano=2026</t>
  </si>
  <si>
    <t xml:space="preserve">925 registros; campos: nr_empenho, vl_empenhado_per, vl_liquidado_per, vl_pago_per</t>
  </si>
  <si>
    <t xml:space="preserve">Gravação de relatórios em diversos formatos em relação aos critérios da despesa</t>
  </si>
  <si>
    <t xml:space="preserve">Exportação de despesa só em json.</t>
  </si>
  <si>
    <t xml:space="preserve">Existência de informações atualizadas em relação aos critérios da despesa</t>
  </si>
  <si>
    <t xml:space="preserve">Páginas de despesa sem datas legíveis no HTML (datas podem estar em consulta dinâmica).</t>
  </si>
  <si>
    <t xml:space="preserve">https://japeri.geosiap.net.br/portal-transparencia/api-docs#!/Execucao_-_Despesas_Detalhadas/get_execucao_despesas_detalhadas_empenhos</t>
  </si>
  <si>
    <t xml:space="preserve">Conteúdo dinâmico (JavaScript)</t>
  </si>
  <si>
    <t xml:space="preserve">Portal indica dados atualizados em 17/10/2026; a data de cada registro de despesa não pôde ser conferida na consulta dinâmica.</t>
  </si>
  <si>
    <t xml:space="preserve">Existência de histórico das informações em relação aos critérios da despesa</t>
  </si>
  <si>
    <t xml:space="preserve">Seletor de exercício não identificado no HTML.</t>
  </si>
  <si>
    <t xml:space="preserve">Crawler não chegou à página</t>
  </si>
  <si>
    <t xml:space="preserve">O menu apresenta despesas anteriores a 2018, bem como consultas do exercício. Histórico de despesas identificado.</t>
  </si>
  <si>
    <t xml:space="preserve">Publica o Relatório de Gestão Fiscal (RGF)</t>
  </si>
  <si>
    <t xml:space="preserve">Não encontrado: Relatório de Gestão Fiscal. Foram examinadas 80 páginas (temas cobertos: contrato, dados_abertos, despesa, diarias, institucional, licitacao, obras, ouvidoria, pessoal, receita, sic, transparencia).</t>
  </si>
  <si>
    <t xml:space="preserve">https://japeri.geosiap.net.br/portal-transparencia/publicacoes</t>
  </si>
  <si>
    <t xml:space="preserve">O menu do portal oferece RGF, mas não foi possível verificar o conteúdo e a abrangência dos arquivos na consulta dinâmica.</t>
  </si>
  <si>
    <t xml:space="preserve">Há possibilidade de envio de pedidos de informação de forma eletrônica (e­SIC)</t>
  </si>
  <si>
    <t xml:space="preserve">Não encontrado: Acesso ao e-SIC, mas o limite de páginas acabou com 7 link(s) de sic ainda não visitados. Ausência não pode ser afirmada (aumentar max_paginas para a entidade).</t>
  </si>
  <si>
    <t xml:space="preserve">https://japeri.rj.gov.br/service/sic-presencial/</t>
  </si>
  <si>
    <t xml:space="preserve">A página oficial leva ao Fala.BR para manifestações eletrônicas; também há acesso ao SIC no portal de transparência. Envio não realizado.</t>
  </si>
  <si>
    <t xml:space="preserve">A solicitação por meio do e­SIC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</si>
  <si>
    <t xml:space="preserve">Formulário do e-SIC não acessível ao robô (sistema externo ou login). Exigências precisam de leitura do texto.</t>
  </si>
  <si>
    <t xml:space="preserve">https://japeri.rj.gov.br/service/acesso-a-informacao/</t>
  </si>
  <si>
    <t xml:space="preserve">https://japeri.geosiap.net.br/pmjaperi/websis/portal_transparencia/sic/formulario.php?c=1792241802</t>
  </si>
  <si>
    <t xml:space="preserve">Divulga, na seção relativa ao e-SIC, os prazos de resposta ao cidadão, incluindo o recursal, e as autoridades competentes para o exame dos pedidos, além do procedimento referente à realização do pedido e de eventual recurso?</t>
  </si>
  <si>
    <t xml:space="preserve">Não encontrado: Prazos e procedimento do e-SIC, mas o limite de páginas acabou com 7 link(s) de sic ainda não visitados. Ausência não pode ser afirmada (aumentar max_paginas para a entidade).</t>
  </si>
  <si>
    <t xml:space="preserve">https://siapegov.japeri.rj.gov.br/pmjaperi/websis/portal_transparencia/sic/perguntas.php?c=1624608557&amp;id=1</t>
  </si>
  <si>
    <t xml:space="preserve">FAQ do SIC inclui prazo de resposta; não foi possível confirmar no mesmo fluxo todas as autoridades e etapas recursais exigidas.</t>
  </si>
  <si>
    <t xml:space="preserve">Exibição do “caminho” de páginas percorridas pelo usuário</t>
  </si>
  <si>
    <t xml:space="preserve">Não encontrado: Trilha de navegação. Foram examinadas 80 páginas (temas cobertos: contrato, dados_abertos, despesa, diarias, institucional, licitacao, obras, ouvidoria, pessoal, receita, sic, transparencia).</t>
  </si>
  <si>
    <t xml:space="preserve">https://japeri.rj.gov.br/team/secretaria-municipal-de-obras-e-servicos-publicos/</t>
  </si>
  <si>
    <t xml:space="preserve">https://japeri.geosiap.net.br/portal-transparencia/covid-19/despesas</t>
  </si>
  <si>
    <t xml:space="preserve">Regra: falso indício</t>
  </si>
  <si>
    <t xml:space="preserve">Página interna do portal exibe trilha «Painel COVID-19 » Despesas Realizadas».</t>
  </si>
  <si>
    <t xml:space="preserve">Opção de alto contraste</t>
  </si>
  <si>
    <t xml:space="preserve">Controle de alto contraste encontrado em 1 de 2 página(s) inicial(is) (sítio/portal).</t>
  </si>
  <si>
    <t xml:space="preserve">Alto Contraste [['linkAcessibilidade']]</t>
  </si>
  <si>
    <t xml:space="preserve">Ferramenta de redimensionamento de texto</t>
  </si>
  <si>
    <t xml:space="preserve">Redimensionamento de texto encontrado em 1 de 2 página(s) inicial(is) (sítio/portal).</t>
  </si>
  <si>
    <t xml:space="preserve">A- [['linkAcessibilidade']]</t>
  </si>
  <si>
    <t xml:space="preserve">Identifica o encarregado/responsável pelo tratamento de dados pessoais e disponibiliza Canal de Comunicação (telefone e/ou e-mail)</t>
  </si>
  <si>
    <t xml:space="preserve">recomendada</t>
  </si>
  <si>
    <t xml:space="preserve">Não encontrado: Identificação do encarregado (LGPD), mas o limite de páginas acabou com 1 link(s) de lgpd ainda não visitados. Ausência não pode ser afirmada (aumentar max_paginas para a entidade).</t>
  </si>
  <si>
    <t xml:space="preserve">Possibilita o acesso automatizado por sistemas externos em dados abertos (estruturados e legíveis por máquina), e a página contém as regras de utilização</t>
  </si>
  <si>
    <t xml:space="preserve">Há dados legíveis por máquina, mas não foram localizadas as regras de utilização.</t>
  </si>
  <si>
    <t xml:space="preserve">Existência de PPA (Lei do Plano Plurianual)</t>
  </si>
  <si>
    <t xml:space="preserve">Não encontrado: PPA. Foram examinadas 80 páginas (temas cobertos: contrato, dados_abertos, despesa, diarias, institucional, licitacao, obras, ouvidoria, pessoal, receita, sic, transparencia).</t>
  </si>
  <si>
    <t xml:space="preserve">O menu contém PPA - Planejamento Plurianual; a consulta de arquivos não pôde ser concluída.</t>
  </si>
  <si>
    <t xml:space="preserve">Existência de LDO (Lei do Diretrizes Orçamentárias)</t>
  </si>
  <si>
    <t xml:space="preserve">Não encontrado: LDO. Foram examinadas 80 páginas (temas cobertos: contrato, dados_abertos, despesa, diarias, institucional, licitacao, obras, ouvidoria, pessoal, receita, sic, transparencia).</t>
  </si>
  <si>
    <t xml:space="preserve">O menu contém LDO - Lei de Diretrizes Orçamentárias; a consulta de arquivos não pôde ser concluída.</t>
  </si>
  <si>
    <t xml:space="preserve">Existência de LOA (Lei Orçamentária)</t>
  </si>
  <si>
    <t xml:space="preserve">Não encontrado: LOA. Foram examinadas 80 páginas (temas cobertos: contrato, dados_abertos, despesa, diarias, institucional, licitacao, obras, ouvidoria, pessoal, receita, sic, transparencia).</t>
  </si>
  <si>
    <t xml:space="preserve">O menu contém LOA - Lei Orçamentária Anual; a consulta de arquivos não pôde ser concluída.</t>
  </si>
  <si>
    <t xml:space="preserve">Relatório Resumido da Execução Orçamentária (RREO)</t>
  </si>
  <si>
    <t xml:space="preserve">Não encontrado: RREO. Foram examinadas 80 páginas (temas cobertos: contrato, dados_abertos, despesa, diarias, institucional, licitacao, obras, ouvidoria, pessoal, receita, sic, transparencia).</t>
  </si>
  <si>
    <t xml:space="preserve">O menu contém RREO - Relatório Resumido da Execução Orçamentária; a consulta de arquivos não pôde ser concluída.</t>
  </si>
  <si>
    <t xml:space="preserve">2026-10-16</t>
  </si>
  <si>
    <t xml:space="preserve">https://prefeitura.rio/</t>
  </si>
  <si>
    <t xml:space="preserve">A capa contém 3 link(s) rotulado(s) 'Transparência'. Destaque visual não verificado (sem renderização).</t>
  </si>
  <si>
    <t xml:space="preserve">https://transparencia.prefeitura.rio</t>
  </si>
  <si>
    <t xml:space="preserve">Transparência Rio</t>
  </si>
  <si>
    <t xml:space="preserve">https://transparencia.prefeitura.rio/</t>
  </si>
  <si>
    <t xml:space="preserve">campo 's' (search)</t>
  </si>
  <si>
    <t xml:space="preserve">https://transparencia.prefeitura.rio/perguntas-frequentes/</t>
  </si>
  <si>
    <t xml:space="preserve">ento ao Cidadão. O contribuinte pode entrar em contato por meio do telefone 1746, pelo portal https://www.1746.rio/ ou pelo Aplicativo 1746 (disponível para Android e iOS). 6. Onde posso encontrar as competências dos órgãos da Prefeitura do Rio? A consulta de todos os órgãos da Prefeitura, sua local</t>
  </si>
  <si>
    <t xml:space="preserve">Endereço encontrado(s) em 'Prefeitura da Cidade do Rio de Janeiro'.</t>
  </si>
  <si>
    <t xml:space="preserve">e de um atendimento personalizado ou serviços que não estão disponíveis online. Rua Afonso Cavalcanti, 455 - Cidade Nova Aplicativos Solicite diversos serviços diretamente do seu disposi</t>
  </si>
  <si>
    <t xml:space="preserve">Telefone encontrado(s) em 'Perguntas Frequentes – PORTAL DA TRANSPARÊNCIA RIO'.</t>
  </si>
  <si>
    <t xml:space="preserve">Janeiro, utilizar o número 1746. Já para demais localidades, utilizar o número (21) 3460-1746. 4. Onde posso encontrar os serviços da Prefeitura do Rio? A Prefeitura disponi</t>
  </si>
  <si>
    <t xml:space="preserve">Horário de atendimento encontrado(s) em 'Ouvidoria – Ouvidoria Institucional do Rio de Janeiro'.</t>
  </si>
  <si>
    <t xml:space="preserve">https://ouvidoria.prefeitura.rio</t>
  </si>
  <si>
    <t xml:space="preserve">va – Rio de Janeiro – RJ CEP: 20211-175 TELEFONE OUVIDORIA GERAL Tel: 3460-1746 HORÁRIO DE ATENDIMENTO DA OUVIDORIA De segunda a sexta das 9h00 às 18h (dias úteis) Para acessar a loc</t>
  </si>
  <si>
    <t xml:space="preserve">https://ouvidoria.prefeitura.rio/</t>
  </si>
  <si>
    <t xml:space="preserve">OUVIDORIA</t>
  </si>
  <si>
    <t xml:space="preserve">Página de receitas cita arrecadação, mas sem tabela legível.</t>
  </si>
  <si>
    <t xml:space="preserve">https://transparencia.prefeitura.rio/planejamento-e-prestacao-de-contas/receitas-e-despesas/</t>
  </si>
  <si>
    <t xml:space="preserve">ecutivo Municipal. O cidadão poderá ter acesso a informações sobre a execução orçamentária da receita e despesa, favorecidos e contratações realizadas. A atualização é diária com informações realizadas até o dia anterior. Mas o que é Receita Pública? Para atender às necessidades da socie</t>
  </si>
  <si>
    <t xml:space="preserve">https://www.rio.rj.gov.br/web/contasrio/dados-abertos</t>
  </si>
  <si>
    <t xml:space="preserve">O Contas Rio disponibiliza receitas por órgão e por fonte e arquivos abertos de execução orçamentária; o robô não alcançou essa consulta externa.</t>
  </si>
  <si>
    <t xml:space="preserve">Relatórios de receita exportáveis em odt, pdf, xls.</t>
  </si>
  <si>
    <t xml:space="preserve">https://transparencia.prefeitura.rio/wp-content/uploads/sites/100/2023/07/Demonstrativo-7-Estimativa-e-Compensacao-de-Renuncia-de-Receita-2026.pdf</t>
  </si>
  <si>
    <t xml:space="preserve">2026</t>
  </si>
  <si>
    <t xml:space="preserve">Página de despesas cita as três fases, mas os dados não estão em tabela legível (provável consulta dinâmica).</t>
  </si>
  <si>
    <t xml:space="preserve">a Despesa Pública? Significa realizar as despesas previstas no orçamento público, seguindo os três estágios presentes na Lei nº 4.32019/64: empenho, liquidação e pagamento. O empenho é a etapa em que o governo reserva o dinheiro que será pago quando o bem for entregue ou o serviço conc</t>
  </si>
  <si>
    <t xml:space="preserve">Contas Rio oferece consultas separadas de empenhos, liquidação e pagamentos. Não foi possível conferir o número e valor de cada fase em um mesmo registro.</t>
  </si>
  <si>
    <t xml:space="preserve">Não encontrado: Exportação de relatórios de despesa. Foram examinadas 40 páginas (temas cobertos: contrato, dados_abertos, despesa, diarias, institucional, lgpd, licitacao, obras, ouvidoria, pessoal, planejamento, receita, sic, transparencia).</t>
  </si>
  <si>
    <t xml:space="preserve">https://transparencia.prefeitura.rio/dados-abertos/</t>
  </si>
  <si>
    <t xml:space="preserve">O Portal da Transparência aponta o Contas Rio com downloads em CSV e TXT de execução de despesas e liquidações.</t>
  </si>
  <si>
    <t xml:space="preserve">Registro mais recente de 30/04/2025 (534 dias): informações desatualizadas.</t>
  </si>
  <si>
    <t xml:space="preserve">cio &gt; Receitas e Despesas Início &gt; Planejamento e Prestação de Contas &gt; Receitas e Despesas Publicado em 19/08/2019 - 15:23 | Atualizado em 30/04/2025 - 18:13 ACESSE O NOVO PORTAL CONTAS RIO O Portal Contas Rio é mantido pela Controladoria Geral do Município e apresenta informações sobre a</t>
  </si>
  <si>
    <t xml:space="preserve">https://controladoria.prefeitura.rio/lrf-bimestrais-ano-2026/</t>
  </si>
  <si>
    <t xml:space="preserve">Há demonstrativos de execução de despesa referentes ao 4º bimestre de 2026; o registro de 2025 citado pelo robô não representa o conteúdo mais recente.</t>
  </si>
  <si>
    <t xml:space="preserve">O portal Contas Rio disponibiliza execução orçamentária por exercícios e arquivo completo histórico, mesmo sem seletor identificado na página inicial.</t>
  </si>
  <si>
    <t xml:space="preserve">Link para Relatório de Gestão Fiscal encontrado, mas o arquivo não foi alcançado (pode estar em consulta dinâmica ou página não coletada).</t>
  </si>
  <si>
    <t xml:space="preserve">https://transparencia.prefeitura.rio/contas-publicas/plano-de-execucoes-orcamentaria-e-de-gestao-fiscal</t>
  </si>
  <si>
    <t xml:space="preserve">PLANO DE EXECUÇÕES ORÇAMENTÁRIA E DE GESTÃO FISCAL</t>
  </si>
  <si>
    <t xml:space="preserve">https://controladoria.prefeitura.rio/lrf-quadrimestrais-ano-2026/</t>
  </si>
  <si>
    <t xml:space="preserve">Os anexos do RGF de 2026 estão publicados em links dos 1º e 2º quadrimestres, inclusive demonstrativo simplificado e arquivo editável.</t>
  </si>
  <si>
    <t xml:space="preserve">Link para sistema e-SIC encontrado; envio não testado (o robô não submete pedidos).</t>
  </si>
  <si>
    <t xml:space="preserve">https://transparencia.prefeitura.rio/acesso-a-informacao/pedido-de-informacao/</t>
  </si>
  <si>
    <t xml:space="preserve">Pedido de Informação</t>
  </si>
  <si>
    <t xml:space="preserve">https://transparencia.prefeitura.rio/perguntas-frequentes/pedidos-de-acesso-a-informacao/</t>
  </si>
  <si>
    <t xml:space="preserve">Prazo de resposta e possibilidade de recurso informados.</t>
  </si>
  <si>
    <t xml:space="preserve">ponível, ela deve ser entregue imediatamente ao solicitante. Caso não seja possível conceder o acesso imediato, o órgão ou entidade tem até 20 dias para responder ao pedido. Este prazo, contudo, pode ser prorrogado por mais 10 dias , mediante justificativa expressa do órgão. Caso não se</t>
  </si>
  <si>
    <t xml:space="preserve">Trilha presente em 27/38 páginas internas.</t>
  </si>
  <si>
    <t xml:space="preserve">https://transparencia.prefeitura.rio/acesso-a-informacao/</t>
  </si>
  <si>
    <t xml:space="preserve">Acesso à Informação Início &gt; Acesso à Informação Início &gt; Acesso à Informação Publicado em 19/08/2019 - 17:20 | Atualizado em 28/09/2026 - 17:52</t>
  </si>
  <si>
    <t xml:space="preserve">Controle de alto contraste encontrado em 2 de 2 página(s) inicial(is) (sítio/portal).</t>
  </si>
  <si>
    <t xml:space="preserve">Alto contraste Alto contraste [['pojo-a11y-toolbar-item']]</t>
  </si>
  <si>
    <t xml:space="preserve">Não encontrado: Redimensionamento de texto. Foram examinadas 40 páginas (temas cobertos: contrato, dados_abertos, despesa, diarias, institucional, lgpd, licitacao, obras, ouvidoria, pessoal, planejamento, receita, sic, transparencia).</t>
  </si>
  <si>
    <t xml:space="preserve">Outro</t>
  </si>
  <si>
    <t xml:space="preserve">A inspeção textual do portal não permite confirmar a presença nem a ausência funcional dos controles de redimensionamento; é necessária conferência visual interativa.</t>
  </si>
  <si>
    <t xml:space="preserve">Encarregado mencionado, sem e-mail/telefone próximo.</t>
  </si>
  <si>
    <t xml:space="preserve">https://lgpd.prefeitura.rio/trilha-de-formacao-em-privacidade-e-protecao-de-dados-pessoais/</t>
  </si>
  <si>
    <t xml:space="preserve">m privacidade, elevando o grau de maturidade institucional e mitigando riscos operacionais. Cronograma de aulas 2024 Evento: Seminário Dia Internacional da Proteção de Dados Data: 26/01 Público Alvo: Encarregados de Dados e membros de Comitês de Privacidade e Proteção de Dados Presentes: 42 particip</t>
  </si>
  <si>
    <t xml:space="preserve">https://lgpd.prefeitura.rio/encarregados-de-dados/</t>
  </si>
  <si>
    <t xml:space="preserve">Página lista encarregados gerais e setoriais nominalmente, com e-mails e canal 1746.</t>
  </si>
  <si>
    <t xml:space="preserve">Dados legíveis por máquina e regras de utilização publicadas.</t>
  </si>
  <si>
    <t xml:space="preserve">https://transparencia.prefeitura.rio/wp-content/uploads/sites/100/2023/07/Base-de-dados-Renuncia-de-Receita-Base-unica-21a25.xlsx</t>
  </si>
  <si>
    <t xml:space="preserve">Base de Dados Única – Dados Abertos (Formato XLS)</t>
  </si>
  <si>
    <t xml:space="preserve">Link para PPA encontrado, mas o arquivo não foi alcançado (pode estar em consulta dinâmica ou página não coletada).</t>
  </si>
  <si>
    <t xml:space="preserve">https://transparencia.prefeitura.rio/contas-publicas/plano-plurianual-ppa</t>
  </si>
  <si>
    <t xml:space="preserve">PLANO PLURIANUAL (PPA)</t>
  </si>
  <si>
    <t xml:space="preserve">https://transparencia.prefeitura.rio/planejamento-e-prestacao-de-contas/plano-plurianual-ppa/</t>
  </si>
  <si>
    <t xml:space="preserve">Link para LDO encontrado, mas o arquivo não foi alcançado (pode estar em consulta dinâmica ou página não coletada).</t>
  </si>
  <si>
    <t xml:space="preserve">https://transparencia.prefeitura.rio/contas-publicas/lei-de-diretrizes-orcamentarias-ldo</t>
  </si>
  <si>
    <t xml:space="preserve">LEI DE DIRETRIZES ORÇAMENTÁRIAS (LDO)</t>
  </si>
  <si>
    <t xml:space="preserve">https://transparencia.prefeitura.rio/planejamento-e-prestacao-de-contas/lei-de-diretrizes-orcamentarias-ldo/</t>
  </si>
  <si>
    <t xml:space="preserve">Link para LOA encontrado, mas o arquivo não foi alcançado (pode estar em consulta dinâmica ou página não coletada).</t>
  </si>
  <si>
    <t xml:space="preserve">https://transparencia.prefeitura.rio/contas-publicas/lei-de-orcamento-anual-loa</t>
  </si>
  <si>
    <t xml:space="preserve">LEI DE ORÇAMENTO ANUAL (LOA)</t>
  </si>
  <si>
    <t xml:space="preserve">https://transparencia.prefeitura.rio/planejamento-e-prestacao-de-contas/lei-de-orcamento-anual-loa/</t>
  </si>
  <si>
    <t xml:space="preserve">Não encontrado: RREO, mas o limite de páginas acabou com 23 link(s) de planejamento ainda não visitados. Ausência não pode ser afirmada (aumentar max_paginas para a entidade).</t>
  </si>
  <si>
    <t xml:space="preserve">CGM publica o RREO bimestral de 2026, com anexos do 1º ao 4º bimestre e arquivos editáveis.</t>
  </si>
  <si>
    <t xml:space="preserve">Regra: padrão não reconhecido</t>
  </si>
  <si>
    <t xml:space="preserve">Critério ambíguo</t>
  </si>
  <si>
    <t xml:space="preserve">Página indisponível</t>
  </si>
  <si>
    <t xml:space="preserve">Data</t>
  </si>
  <si>
    <t xml:space="preserve">Problema observado</t>
  </si>
  <si>
    <t xml:space="preserve">Ajuste feito</t>
  </si>
  <si>
    <t xml:space="preserve">Regra antes</t>
  </si>
  <si>
    <t xml:space="preserve">Regra depois</t>
  </si>
  <si>
    <t xml:space="preserve">Efeito na concordância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</si>
</sst>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%"/>
    <numFmt numFmtId="168" formatCode="0.00"/>
    <numFmt numFmtId="169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theme="1"/>
      <name val="Arial"/>
      <family val="0"/>
      <charset val="1"/>
    </font>
    <font>
      <u val="single"/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japeri.rj.gov.br/" TargetMode="External"/><Relationship Id="rId3" Type="http://schemas.openxmlformats.org/officeDocument/2006/relationships/hyperlink" Target="https://japeri.rj.gov.br/links/" TargetMode="External"/><Relationship Id="rId4" Type="http://schemas.openxmlformats.org/officeDocument/2006/relationships/hyperlink" Target="https://japeri.rj.gov.br/" TargetMode="External"/><Relationship Id="rId5" Type="http://schemas.openxmlformats.org/officeDocument/2006/relationships/hyperlink" Target="https://japeri.geosiap.net.br/portal-transparencia/api-docs" TargetMode="External"/><Relationship Id="rId6" Type="http://schemas.openxmlformats.org/officeDocument/2006/relationships/hyperlink" Target="https://japeri.rj.gov.br/" TargetMode="External"/><Relationship Id="rId7" Type="http://schemas.openxmlformats.org/officeDocument/2006/relationships/hyperlink" Target="https://japeri.rj.gov.br/" TargetMode="External"/><Relationship Id="rId8" Type="http://schemas.openxmlformats.org/officeDocument/2006/relationships/hyperlink" Target="https://japeri.geosiap.net.br/portal-transparencia" TargetMode="External"/><Relationship Id="rId9" Type="http://schemas.openxmlformats.org/officeDocument/2006/relationships/hyperlink" Target="https://japeri.rj.gov.br/contato/" TargetMode="External"/><Relationship Id="rId10" Type="http://schemas.openxmlformats.org/officeDocument/2006/relationships/hyperlink" Target="https://japeri.geosiap.net.br/portal-transparencia/api/execucao/receitas/proprias/receitas_proprias?id_entidade=10&amp;ano=2026&amp;layout=anual" TargetMode="External"/><Relationship Id="rId11" Type="http://schemas.openxmlformats.org/officeDocument/2006/relationships/hyperlink" Target="https://online.swagger.io/validator/debug?url=https://japeri.geosiap.net.br/portal-transparencia/api-docs/v1/swagger.json" TargetMode="External"/><Relationship Id="rId12" Type="http://schemas.openxmlformats.org/officeDocument/2006/relationships/hyperlink" Target="https://japeri.geosiap.net.br/portal-transparencia/api/execucao/empenhos/empenhos?id_entidade=10&amp;ano=2026" TargetMode="External"/><Relationship Id="rId13" Type="http://schemas.openxmlformats.org/officeDocument/2006/relationships/hyperlink" Target="https://online.swagger.io/validator/debug?url=https://japeri.geosiap.net.br/portal-transparencia/api-docs/v1/swagger.json" TargetMode="External"/><Relationship Id="rId14" Type="http://schemas.openxmlformats.org/officeDocument/2006/relationships/hyperlink" Target="https://japeri.geosiap.net.br/portal-transparencia/api-docs" TargetMode="External"/><Relationship Id="rId15" Type="http://schemas.openxmlformats.org/officeDocument/2006/relationships/hyperlink" Target="https://japeri.geosiap.net.br/portal-transparencia/api-docs" TargetMode="External"/><Relationship Id="rId16" Type="http://schemas.openxmlformats.org/officeDocument/2006/relationships/hyperlink" Target="https://japeri.rj.gov.br/" TargetMode="External"/><Relationship Id="rId17" Type="http://schemas.openxmlformats.org/officeDocument/2006/relationships/hyperlink" Target="https://japeri.rj.gov.br/" TargetMode="External"/><Relationship Id="rId18" Type="http://schemas.openxmlformats.org/officeDocument/2006/relationships/hyperlink" Target="https://japeri.rj.gov.br/service/acesso-a-informacao/" TargetMode="External"/><Relationship Id="rId19" Type="http://schemas.openxmlformats.org/officeDocument/2006/relationships/hyperlink" Target="https://japeri.rj.gov.br/service/acesso-a-informacao/" TargetMode="External"/><Relationship Id="rId20" Type="http://schemas.openxmlformats.org/officeDocument/2006/relationships/hyperlink" Target="https://japeri.rj.gov.br/team/secretaria-municipal-de-obras-e-servicos-publicos/" TargetMode="External"/><Relationship Id="rId21" Type="http://schemas.openxmlformats.org/officeDocument/2006/relationships/hyperlink" Target="https://japeri.geosiap.net.br/portal-transparencia" TargetMode="External"/><Relationship Id="rId22" Type="http://schemas.openxmlformats.org/officeDocument/2006/relationships/hyperlink" Target="https://japeri.geosiap.net.br/portal-transparencia" TargetMode="External"/><Relationship Id="rId23" Type="http://schemas.openxmlformats.org/officeDocument/2006/relationships/hyperlink" Target="https://japeri.rj.gov.br/" TargetMode="External"/><Relationship Id="rId24" Type="http://schemas.openxmlformats.org/officeDocument/2006/relationships/hyperlink" Target="https://online.swagger.io/validator/debug?url=https://japeri.geosiap.net.br/portal-transparencia/api-docs/v1/swagger.json" TargetMode="External"/><Relationship Id="rId25" Type="http://schemas.openxmlformats.org/officeDocument/2006/relationships/hyperlink" Target="https://japeri.rj.gov.br/" TargetMode="External"/><Relationship Id="rId26" Type="http://schemas.openxmlformats.org/officeDocument/2006/relationships/hyperlink" Target="https://japeri.rj.gov.br/" TargetMode="External"/><Relationship Id="rId27" Type="http://schemas.openxmlformats.org/officeDocument/2006/relationships/hyperlink" Target="https://japeri.rj.gov.br/" TargetMode="External"/><Relationship Id="rId28" Type="http://schemas.openxmlformats.org/officeDocument/2006/relationships/hyperlink" Target="https://japeri.rj.gov.br/" TargetMode="External"/><Relationship Id="rId29" Type="http://schemas.openxmlformats.org/officeDocument/2006/relationships/hyperlink" Target="https://prefeitura.rio/" TargetMode="External"/><Relationship Id="rId30" Type="http://schemas.openxmlformats.org/officeDocument/2006/relationships/hyperlink" Target="https://prefeitura.rio/" TargetMode="External"/><Relationship Id="rId31" Type="http://schemas.openxmlformats.org/officeDocument/2006/relationships/hyperlink" Target="https://transparencia.prefeitura.rio/" TargetMode="External"/><Relationship Id="rId32" Type="http://schemas.openxmlformats.org/officeDocument/2006/relationships/hyperlink" Target="https://transparencia.prefeitura.rio/" TargetMode="External"/><Relationship Id="rId33" Type="http://schemas.openxmlformats.org/officeDocument/2006/relationships/hyperlink" Target="https://prefeitura.rio/" TargetMode="External"/><Relationship Id="rId34" Type="http://schemas.openxmlformats.org/officeDocument/2006/relationships/hyperlink" Target="https://prefeitura.rio/" TargetMode="External"/><Relationship Id="rId35" Type="http://schemas.openxmlformats.org/officeDocument/2006/relationships/hyperlink" Target="https://transparencia.prefeitura.rio/perguntas-frequentes/" TargetMode="External"/><Relationship Id="rId36" Type="http://schemas.openxmlformats.org/officeDocument/2006/relationships/hyperlink" Target="https://transparencia.prefeitura.rio/perguntas-frequentes/" TargetMode="External"/><Relationship Id="rId37" Type="http://schemas.openxmlformats.org/officeDocument/2006/relationships/hyperlink" Target="https://prefeitura.rio/" TargetMode="External"/><Relationship Id="rId38" Type="http://schemas.openxmlformats.org/officeDocument/2006/relationships/hyperlink" Target="https://prefeitura.rio/" TargetMode="External"/><Relationship Id="rId39" Type="http://schemas.openxmlformats.org/officeDocument/2006/relationships/hyperlink" Target="https://transparencia.prefeitura.rio/perguntas-frequentes/" TargetMode="External"/><Relationship Id="rId40" Type="http://schemas.openxmlformats.org/officeDocument/2006/relationships/hyperlink" Target="https://transparencia.prefeitura.rio/perguntas-frequentes/" TargetMode="External"/><Relationship Id="rId41" Type="http://schemas.openxmlformats.org/officeDocument/2006/relationships/hyperlink" Target="https://ouvidoria.prefeitura.rio/" TargetMode="External"/><Relationship Id="rId42" Type="http://schemas.openxmlformats.org/officeDocument/2006/relationships/hyperlink" Target="https://ouvidoria.prefeitura.rio/" TargetMode="External"/><Relationship Id="rId43" Type="http://schemas.openxmlformats.org/officeDocument/2006/relationships/hyperlink" Target="https://ouvidoria.prefeitura.rio/" TargetMode="External"/><Relationship Id="rId44" Type="http://schemas.openxmlformats.org/officeDocument/2006/relationships/hyperlink" Target="https://ouvidoria.prefeitura.rio/" TargetMode="External"/><Relationship Id="rId45" Type="http://schemas.openxmlformats.org/officeDocument/2006/relationships/hyperlink" Target="https://transparencia.prefeitura.rio/planejamento-e-prestacao-de-contas/receitas-e-despesas/" TargetMode="External"/><Relationship Id="rId46" Type="http://schemas.openxmlformats.org/officeDocument/2006/relationships/hyperlink" Target="https://contasrio.rio.rj.gov.br/ContasRio/" TargetMode="External"/><Relationship Id="rId47" Type="http://schemas.openxmlformats.org/officeDocument/2006/relationships/hyperlink" Target="https://transparencia.prefeitura.rio/wp-content/uploads/sites/100/2023/07/Demonstrativo-7-Estimativa-e-Compensacao-de-Renuncia-de-Receita-2026.pdf" TargetMode="External"/><Relationship Id="rId48" Type="http://schemas.openxmlformats.org/officeDocument/2006/relationships/hyperlink" Target="https://transparencia.prefeitura.rio/planejamento-e-prestacao-de-contas/receitas-e-despesas/" TargetMode="External"/><Relationship Id="rId49" Type="http://schemas.openxmlformats.org/officeDocument/2006/relationships/hyperlink" Target="https://transparencia.prefeitura.rio/planejamento-e-prestacao-de-contas/receitas-e-despesas/" TargetMode="External"/><Relationship Id="rId50" Type="http://schemas.openxmlformats.org/officeDocument/2006/relationships/hyperlink" Target="https://transparencia.prefeitura.rio/planejamento-e-prestacao-de-contas/receitas-e-despesas/" TargetMode="External"/><Relationship Id="rId51" Type="http://schemas.openxmlformats.org/officeDocument/2006/relationships/hyperlink" Target="https://transparencia.prefeitura.rio/planejamento-e-prestacao-de-contas/receitas-e-despesas/" TargetMode="External"/><Relationship Id="rId52" Type="http://schemas.openxmlformats.org/officeDocument/2006/relationships/hyperlink" Target="https://transparencia.prefeitura.rio/contas-publicas/plano-de-execucoes-orcamentaria-e-de-gestao-fiscal" TargetMode="External"/><Relationship Id="rId53" Type="http://schemas.openxmlformats.org/officeDocument/2006/relationships/hyperlink" Target="https://transparencia.prefeitura.rio/acesso-a-informacao/pedido-de-informacao/" TargetMode="External"/><Relationship Id="rId54" Type="http://schemas.openxmlformats.org/officeDocument/2006/relationships/hyperlink" Target="https://transparencia.prefeitura.rio/perguntas-frequentes/pedidos-de-acesso-a-informacao/" TargetMode="External"/><Relationship Id="rId55" Type="http://schemas.openxmlformats.org/officeDocument/2006/relationships/hyperlink" Target="https://transparencia.prefeitura.rio/acesso-a-informacao/pedido-de-informacao/" TargetMode="External"/><Relationship Id="rId56" Type="http://schemas.openxmlformats.org/officeDocument/2006/relationships/hyperlink" Target="https://transparencia.prefeitura.rio/acesso-a-informacao/" TargetMode="External"/><Relationship Id="rId57" Type="http://schemas.openxmlformats.org/officeDocument/2006/relationships/hyperlink" Target="https://prefeitura.rio/" TargetMode="External"/><Relationship Id="rId58" Type="http://schemas.openxmlformats.org/officeDocument/2006/relationships/hyperlink" Target="https://prefeitura.rio/" TargetMode="External"/><Relationship Id="rId59" Type="http://schemas.openxmlformats.org/officeDocument/2006/relationships/hyperlink" Target="https://lgpd.prefeitura.rio/trilha-de-formacao-em-privacidade-e-protecao-de-dados-pessoais/" TargetMode="External"/><Relationship Id="rId60" Type="http://schemas.openxmlformats.org/officeDocument/2006/relationships/hyperlink" Target="https://transparencia.prefeitura.rio/wp-content/uploads/sites/100/2023/07/Base-de-dados-Renuncia-de-Receita-Base-unica-21a25.xlsx" TargetMode="External"/><Relationship Id="rId61" Type="http://schemas.openxmlformats.org/officeDocument/2006/relationships/hyperlink" Target="https://transparencia.prefeitura.rio/contas-publicas/plano-plurianual-ppa" TargetMode="External"/><Relationship Id="rId62" Type="http://schemas.openxmlformats.org/officeDocument/2006/relationships/hyperlink" Target="https://transparencia.prefeitura.rio/contas-publicas/lei-de-diretrizes-orcamentarias-ldo" TargetMode="External"/><Relationship Id="rId63" Type="http://schemas.openxmlformats.org/officeDocument/2006/relationships/hyperlink" Target="https://transparencia.prefeitura.rio/contas-publicas/lei-de-orcamento-anual-loa" TargetMode="External"/><Relationship Id="rId64" Type="http://schemas.openxmlformats.org/officeDocument/2006/relationships/hyperlink" Target="https://transparencia.prefeitura.rio/planejamento-e-prestacao-de-contas/lei-de-diretrizes-orcamentarias-ldo/" TargetMode="External"/><Relationship Id="rId6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5" min="2" style="0" width="16"/>
    <col collapsed="false" customWidth="true" hidden="false" outlineLevel="0" max="26" min="16" style="0" width="8.7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.75" hidden="false" customHeight="true" outlineLevel="0" collapsed="false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24</v>
      </c>
      <c r="I21" s="4" t="s">
        <v>25</v>
      </c>
      <c r="J21" s="4" t="s">
        <v>26</v>
      </c>
      <c r="K21" s="4" t="s">
        <v>27</v>
      </c>
      <c r="L21" s="4" t="s">
        <v>28</v>
      </c>
      <c r="M21" s="4" t="s">
        <v>29</v>
      </c>
      <c r="N21" s="4" t="s">
        <v>30</v>
      </c>
      <c r="O21" s="4" t="s">
        <v>31</v>
      </c>
    </row>
    <row r="22" customFormat="false" ht="15.75" hidden="false" customHeight="true" outlineLevel="0" collapsed="false">
      <c r="A22" s="5" t="s">
        <v>32</v>
      </c>
      <c r="B22" s="5" t="n">
        <v>12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5" t="n">
        <v>0.6</v>
      </c>
      <c r="I22" s="5" t="s">
        <v>38</v>
      </c>
      <c r="J22" s="5" t="s">
        <v>39</v>
      </c>
      <c r="K22" s="5"/>
      <c r="L22" s="6" t="s">
        <v>40</v>
      </c>
      <c r="M22" s="6" t="s">
        <v>41</v>
      </c>
      <c r="N22" s="6" t="s">
        <v>42</v>
      </c>
      <c r="O22" s="6" t="s">
        <v>43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8" min="4" style="0" width="15"/>
    <col collapsed="false" customWidth="true" hidden="false" outlineLevel="0" max="26" min="9" style="0" width="8.71"/>
  </cols>
  <sheetData>
    <row r="1" customFormat="false" ht="16.15" hidden="false" customHeight="false" outlineLevel="0" collapsed="false">
      <c r="A1" s="1" t="s">
        <v>44</v>
      </c>
    </row>
    <row r="2" customFormat="false" ht="15" hidden="false" customHeight="true" outlineLevel="0" collapsed="false">
      <c r="A2" s="4" t="s">
        <v>45</v>
      </c>
      <c r="B2" s="4" t="s">
        <v>46</v>
      </c>
      <c r="C2" s="4" t="s">
        <v>47</v>
      </c>
      <c r="D2" s="4"/>
      <c r="E2" s="4"/>
      <c r="F2" s="4"/>
      <c r="G2" s="4"/>
      <c r="H2" s="4"/>
    </row>
    <row r="3" customFormat="false" ht="15" hidden="false" customHeight="false" outlineLevel="0" collapsed="false">
      <c r="A3" s="7" t="s">
        <v>48</v>
      </c>
      <c r="B3" s="8" t="n">
        <f aca="false">COUNTA(Avaliação!$G$2:$G$55)</f>
        <v>54</v>
      </c>
      <c r="C3" s="9" t="s">
        <v>49</v>
      </c>
      <c r="D3" s="9"/>
      <c r="E3" s="9"/>
      <c r="F3" s="9"/>
      <c r="G3" s="9"/>
      <c r="H3" s="9"/>
    </row>
    <row r="4" customFormat="false" ht="15" hidden="false" customHeight="false" outlineLevel="0" collapsed="false">
      <c r="A4" s="7" t="s">
        <v>50</v>
      </c>
      <c r="B4" s="8" t="n">
        <f aca="false">COUNTIF(Avaliação!$L$2:$L$55,"&lt;&gt;")</f>
        <v>54</v>
      </c>
      <c r="C4" s="9" t="s">
        <v>51</v>
      </c>
      <c r="D4" s="9"/>
      <c r="E4" s="9"/>
      <c r="F4" s="9"/>
      <c r="G4" s="9"/>
      <c r="H4" s="9"/>
    </row>
    <row r="5" customFormat="false" ht="15" hidden="false" customHeight="false" outlineLevel="0" collapsed="false">
      <c r="A5" s="7" t="s">
        <v>52</v>
      </c>
      <c r="B5" s="10" t="n">
        <f aca="false">IFERROR(B4/B3,0)</f>
        <v>1</v>
      </c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7" t="s">
        <v>53</v>
      </c>
      <c r="B6" s="8" t="n">
        <f aca="false">SUM(Avaliação!$Q$2:$Q$55)</f>
        <v>42</v>
      </c>
      <c r="C6" s="9" t="s">
        <v>54</v>
      </c>
      <c r="D6" s="9"/>
      <c r="E6" s="9"/>
      <c r="F6" s="9"/>
      <c r="G6" s="9"/>
      <c r="H6" s="9"/>
    </row>
    <row r="7" customFormat="false" ht="15" hidden="false" customHeight="false" outlineLevel="0" collapsed="false">
      <c r="A7" s="7" t="s">
        <v>55</v>
      </c>
      <c r="B7" s="11" t="n">
        <f aca="false">IFERROR(SUM(Avaliação!$R$2:$R$55)/B6,"—")</f>
        <v>0.761904761904762</v>
      </c>
      <c r="C7" s="9" t="s">
        <v>56</v>
      </c>
      <c r="D7" s="9"/>
      <c r="E7" s="9"/>
      <c r="F7" s="9"/>
      <c r="G7" s="9"/>
      <c r="H7" s="9"/>
    </row>
    <row r="8" customFormat="false" ht="15" hidden="false" customHeight="false" outlineLevel="0" collapsed="false">
      <c r="A8" s="7" t="s">
        <v>57</v>
      </c>
      <c r="B8" s="8" t="n">
        <f aca="false">COUNTIF(Avaliação!$P$2:$P$55,"Falso não atende")</f>
        <v>8</v>
      </c>
      <c r="C8" s="9" t="s">
        <v>58</v>
      </c>
      <c r="D8" s="9"/>
      <c r="E8" s="9"/>
      <c r="F8" s="9"/>
      <c r="G8" s="9"/>
      <c r="H8" s="9"/>
    </row>
    <row r="9" customFormat="false" ht="15" hidden="false" customHeight="false" outlineLevel="0" collapsed="false">
      <c r="A9" s="7" t="s">
        <v>59</v>
      </c>
      <c r="B9" s="11" t="n">
        <f aca="false">IFERROR(COUNTIFS(Avaliação!$G$2:$G$55,"nao_atende",Avaliação!$P$2:$P$55,"Concordância")/COUNTIFS(Avaliação!$G$2:$G$55,"nao_atende",Avaliação!$Q$2:$Q$55,1),"—")</f>
        <v>0</v>
      </c>
      <c r="C9" s="9" t="s">
        <v>60</v>
      </c>
      <c r="D9" s="9"/>
      <c r="E9" s="9"/>
      <c r="F9" s="9"/>
      <c r="G9" s="9"/>
      <c r="H9" s="9"/>
    </row>
    <row r="10" customFormat="false" ht="15" hidden="false" customHeight="false" outlineLevel="0" collapsed="false">
      <c r="A10" s="7" t="s">
        <v>61</v>
      </c>
      <c r="B10" s="8" t="n">
        <f aca="false">COUNTIF(Avaliação!$P$2:$P$55,"Falso atende")</f>
        <v>0</v>
      </c>
      <c r="C10" s="9" t="s">
        <v>62</v>
      </c>
      <c r="D10" s="9"/>
      <c r="E10" s="9"/>
      <c r="F10" s="9"/>
      <c r="G10" s="9"/>
      <c r="H10" s="9"/>
    </row>
    <row r="11" customFormat="false" ht="15" hidden="false" customHeight="false" outlineLevel="0" collapsed="false">
      <c r="A11" s="7" t="s">
        <v>63</v>
      </c>
      <c r="B11" s="11" t="n">
        <f aca="false">IFERROR(COUNTIFS(Avaliação!$G$2:$G$55,"atende",Avaliação!$P$2:$P$55,"Concordância")/COUNTIFS(Avaliação!$G$2:$G$55,"atende",Avaliação!$Q$2:$Q$55,1),"—")</f>
        <v>1</v>
      </c>
      <c r="C11" s="9" t="s">
        <v>64</v>
      </c>
      <c r="D11" s="9"/>
      <c r="E11" s="9"/>
      <c r="F11" s="9"/>
      <c r="G11" s="9"/>
      <c r="H11" s="9"/>
    </row>
    <row r="12" customFormat="false" ht="15" hidden="false" customHeight="false" outlineLevel="0" collapsed="false">
      <c r="A12" s="7" t="s">
        <v>65</v>
      </c>
      <c r="B12" s="8" t="n">
        <f aca="false">COUNTIF(Avaliação!$P$2:$P$55,"Divergência de grau")</f>
        <v>2</v>
      </c>
      <c r="C12" s="9" t="s">
        <v>66</v>
      </c>
      <c r="D12" s="9"/>
      <c r="E12" s="9"/>
      <c r="F12" s="9"/>
      <c r="G12" s="9"/>
      <c r="H12" s="9"/>
    </row>
    <row r="13" customFormat="false" ht="15" hidden="false" customHeight="false" outlineLevel="0" collapsed="false">
      <c r="A13" s="7" t="s">
        <v>67</v>
      </c>
      <c r="B13" s="11" t="n">
        <f aca="false">IFERROR(COUNTIF(Avaliação!$G$2:$G$55,"inconclusivo")/B3,"—")</f>
        <v>0.203703703703704</v>
      </c>
      <c r="C13" s="9" t="s">
        <v>68</v>
      </c>
      <c r="D13" s="9"/>
      <c r="E13" s="9"/>
      <c r="F13" s="9"/>
      <c r="G13" s="9"/>
      <c r="H13" s="9"/>
    </row>
    <row r="14" customFormat="false" ht="15" hidden="false" customHeight="false" outlineLevel="0" collapsed="false">
      <c r="A14" s="7" t="s">
        <v>69</v>
      </c>
      <c r="B14" s="8" t="n">
        <f aca="false">COUNTIFS(Avaliação!$G$2:$G$55,"inconclusivo",Avaliação!$L$2:$L$55,"&lt;&gt;")-COUNTIFS(Avaliação!$G$2:$G$55,"inconclusivo",Avaliação!$L$2:$L$55,"nao_verificavel")</f>
        <v>8</v>
      </c>
      <c r="C14" s="9" t="s">
        <v>70</v>
      </c>
      <c r="D14" s="9"/>
      <c r="E14" s="9"/>
      <c r="F14" s="9"/>
      <c r="G14" s="9"/>
      <c r="H14" s="9"/>
    </row>
    <row r="15" customFormat="false" ht="15" hidden="false" customHeight="false" outlineLevel="0" collapsed="false">
      <c r="A15" s="7" t="s">
        <v>71</v>
      </c>
      <c r="B15" s="12" t="n">
        <f aca="false">IFERROR((B6*(B34+C35+D36)-(E34*B38+E35*C38+E36*D38))/(B6^2-(E34*B38+E35*C38+E36*D38)),"—")</f>
        <v>0.552238805970149</v>
      </c>
      <c r="C15" s="9" t="s">
        <v>72</v>
      </c>
      <c r="D15" s="9"/>
      <c r="E15" s="9"/>
      <c r="F15" s="9"/>
      <c r="G15" s="9"/>
      <c r="H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>
      <c r="A32" s="13" t="s">
        <v>73</v>
      </c>
    </row>
    <row r="33" customFormat="false" ht="15.75" hidden="false" customHeight="true" outlineLevel="0" collapsed="false">
      <c r="A33" s="4" t="s">
        <v>74</v>
      </c>
      <c r="B33" s="4" t="s">
        <v>40</v>
      </c>
      <c r="C33" s="4" t="s">
        <v>75</v>
      </c>
      <c r="D33" s="4" t="s">
        <v>37</v>
      </c>
      <c r="E33" s="4" t="s">
        <v>76</v>
      </c>
      <c r="F33" s="4" t="s">
        <v>77</v>
      </c>
      <c r="G33" s="4" t="s">
        <v>78</v>
      </c>
      <c r="H33" s="4" t="s">
        <v>79</v>
      </c>
    </row>
    <row r="34" customFormat="false" ht="15.75" hidden="false" customHeight="true" outlineLevel="0" collapsed="false">
      <c r="A34" s="14" t="s">
        <v>40</v>
      </c>
      <c r="B34" s="15" t="n">
        <f aca="false">COUNTIFS(Avaliação!$G$2:$G$55,"atende",Avaliação!$L$2:$L$55,"atende")</f>
        <v>24</v>
      </c>
      <c r="C34" s="15" t="n">
        <f aca="false">COUNTIFS(Avaliação!$G$2:$G$55,"atende",Avaliação!$L$2:$L$55,"parcial")</f>
        <v>0</v>
      </c>
      <c r="D34" s="15" t="n">
        <f aca="false">COUNTIFS(Avaliação!$G$2:$G$55,"atende",Avaliação!$L$2:$L$55,"nao_atende")</f>
        <v>0</v>
      </c>
      <c r="E34" s="15" t="n">
        <f aca="false">SUM(B34:D34)</f>
        <v>24</v>
      </c>
      <c r="F34" s="15" t="n">
        <f aca="false">COUNTIFS(Avaliação!$G$2:$G$55,"atende",Avaliação!$L$2:$L$55,"nao_aplicavel")</f>
        <v>0</v>
      </c>
      <c r="G34" s="15" t="n">
        <f aca="false">COUNTIFS(Avaliação!$G$2:$G$55,"atende",Avaliação!$L$2:$L$55,"nao_verificavel")</f>
        <v>0</v>
      </c>
      <c r="H34" s="15" t="n">
        <f aca="false">COUNTIF(Avaliação!$G$2:$G$55,"atende")-COUNTIFS(Avaliação!$G$2:$G$55,"atende",Avaliação!$L$2:$L$55,"&lt;&gt;")</f>
        <v>0</v>
      </c>
    </row>
    <row r="35" customFormat="false" ht="15.75" hidden="false" customHeight="true" outlineLevel="0" collapsed="false">
      <c r="A35" s="14" t="s">
        <v>75</v>
      </c>
      <c r="B35" s="15" t="n">
        <f aca="false">COUNTIFS(Avaliação!$G$2:$G$55,"parcial",Avaliação!$L$2:$L$55,"atende")</f>
        <v>2</v>
      </c>
      <c r="C35" s="15" t="n">
        <f aca="false">COUNTIFS(Avaliação!$G$2:$G$55,"parcial",Avaliação!$L$2:$L$55,"parcial")</f>
        <v>8</v>
      </c>
      <c r="D35" s="15" t="n">
        <f aca="false">COUNTIFS(Avaliação!$G$2:$G$55,"parcial",Avaliação!$L$2:$L$55,"nao_atende")</f>
        <v>0</v>
      </c>
      <c r="E35" s="15" t="n">
        <f aca="false">SUM(B35:D35)</f>
        <v>10</v>
      </c>
      <c r="F35" s="15" t="n">
        <f aca="false">COUNTIFS(Avaliação!$G$2:$G$55,"parcial",Avaliação!$L$2:$L$55,"nao_aplicavel")</f>
        <v>0</v>
      </c>
      <c r="G35" s="15" t="n">
        <f aca="false">COUNTIFS(Avaliação!$G$2:$G$55,"parcial",Avaliação!$L$2:$L$55,"nao_verificavel")</f>
        <v>0</v>
      </c>
      <c r="H35" s="15" t="n">
        <f aca="false">COUNTIF(Avaliação!$G$2:$G$55,"parcial")-COUNTIFS(Avaliação!$G$2:$G$55,"parcial",Avaliação!$L$2:$L$55,"&lt;&gt;")</f>
        <v>0</v>
      </c>
    </row>
    <row r="36" customFormat="false" ht="15.75" hidden="false" customHeight="true" outlineLevel="0" collapsed="false">
      <c r="A36" s="14" t="s">
        <v>37</v>
      </c>
      <c r="B36" s="15" t="n">
        <f aca="false">COUNTIFS(Avaliação!$G$2:$G$55,"nao_atende",Avaliação!$L$2:$L$55,"atende")</f>
        <v>3</v>
      </c>
      <c r="C36" s="15" t="n">
        <f aca="false">COUNTIFS(Avaliação!$G$2:$G$55,"nao_atende",Avaliação!$L$2:$L$55,"parcial")</f>
        <v>5</v>
      </c>
      <c r="D36" s="15" t="n">
        <f aca="false">COUNTIFS(Avaliação!$G$2:$G$55,"nao_atende",Avaliação!$L$2:$L$55,"nao_atende")</f>
        <v>0</v>
      </c>
      <c r="E36" s="15" t="n">
        <f aca="false">SUM(B36:D36)</f>
        <v>8</v>
      </c>
      <c r="F36" s="15" t="n">
        <f aca="false">COUNTIFS(Avaliação!$G$2:$G$55,"nao_atende",Avaliação!$L$2:$L$55,"nao_aplicavel")</f>
        <v>0</v>
      </c>
      <c r="G36" s="15" t="n">
        <f aca="false">COUNTIFS(Avaliação!$G$2:$G$55,"nao_atende",Avaliação!$L$2:$L$55,"nao_verificavel")</f>
        <v>1</v>
      </c>
      <c r="H36" s="15" t="n">
        <f aca="false">COUNTIF(Avaliação!$G$2:$G$55,"nao_atende")-COUNTIFS(Avaliação!$G$2:$G$55,"nao_atende",Avaliação!$L$2:$L$55,"&lt;&gt;")</f>
        <v>0</v>
      </c>
    </row>
    <row r="37" customFormat="false" ht="15.75" hidden="false" customHeight="true" outlineLevel="0" collapsed="false">
      <c r="A37" s="14" t="s">
        <v>80</v>
      </c>
      <c r="B37" s="15" t="n">
        <f aca="false">COUNTIFS(Avaliação!$G$2:$G$55,"inconclusivo",Avaliação!$L$2:$L$55,"atende")</f>
        <v>5</v>
      </c>
      <c r="C37" s="15" t="n">
        <f aca="false">COUNTIFS(Avaliação!$G$2:$G$55,"inconclusivo",Avaliação!$L$2:$L$55,"parcial")</f>
        <v>3</v>
      </c>
      <c r="D37" s="15" t="n">
        <f aca="false">COUNTIFS(Avaliação!$G$2:$G$55,"inconclusivo",Avaliação!$L$2:$L$55,"nao_atende")</f>
        <v>0</v>
      </c>
      <c r="E37" s="15"/>
      <c r="F37" s="15" t="n">
        <f aca="false">COUNTIFS(Avaliação!$G$2:$G$55,"inconclusivo",Avaliação!$L$2:$L$55,"nao_aplicavel")</f>
        <v>0</v>
      </c>
      <c r="G37" s="15" t="n">
        <f aca="false">COUNTIFS(Avaliação!$G$2:$G$55,"inconclusivo",Avaliação!$L$2:$L$55,"nao_verificavel")</f>
        <v>3</v>
      </c>
      <c r="H37" s="15" t="n">
        <f aca="false">COUNTIF(Avaliação!$G$2:$G$55,"inconclusivo")-COUNTIFS(Avaliação!$G$2:$G$55,"inconclusivo",Avaliação!$L$2:$L$55,"&lt;&gt;")</f>
        <v>0</v>
      </c>
    </row>
    <row r="38" customFormat="false" ht="15.75" hidden="false" customHeight="true" outlineLevel="0" collapsed="false">
      <c r="A38" s="14" t="s">
        <v>76</v>
      </c>
      <c r="B38" s="15" t="n">
        <f aca="false">SUM(B34:B36)</f>
        <v>29</v>
      </c>
      <c r="C38" s="15" t="n">
        <f aca="false">SUM(C34:C36)</f>
        <v>13</v>
      </c>
      <c r="D38" s="15" t="n">
        <f aca="false">SUM(D34:D36)</f>
        <v>0</v>
      </c>
      <c r="E38" s="15"/>
      <c r="F38" s="15"/>
      <c r="G38" s="15"/>
      <c r="H38" s="15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>
      <c r="A41" s="13" t="s">
        <v>81</v>
      </c>
    </row>
    <row r="42" customFormat="false" ht="15.75" hidden="false" customHeight="true" outlineLevel="0" collapsed="false">
      <c r="A42" s="4" t="s">
        <v>82</v>
      </c>
      <c r="B42" s="4" t="s">
        <v>83</v>
      </c>
      <c r="C42" s="4" t="s">
        <v>84</v>
      </c>
      <c r="D42" s="4" t="s">
        <v>53</v>
      </c>
      <c r="E42" s="4" t="s">
        <v>85</v>
      </c>
      <c r="F42" s="4" t="s">
        <v>86</v>
      </c>
      <c r="G42" s="4" t="s">
        <v>87</v>
      </c>
      <c r="H42" s="4" t="s">
        <v>88</v>
      </c>
    </row>
    <row r="43" customFormat="false" ht="15.75" hidden="false" customHeight="true" outlineLevel="0" collapsed="false">
      <c r="A43" s="15" t="s">
        <v>89</v>
      </c>
      <c r="B43" s="16" t="n">
        <f aca="false">COUNTIF(Avaliação!$D$2:$D$55,"1.1")</f>
        <v>2</v>
      </c>
      <c r="C43" s="16" t="n">
        <f aca="false">COUNTIFS(Avaliação!$D$2:$D$55,"1.1",Avaliação!$L$2:$L$55,"&lt;&gt;")</f>
        <v>2</v>
      </c>
      <c r="D43" s="16" t="n">
        <f aca="false">COUNTIFS(Avaliação!$D$2:$D$55,"1.1",Avaliação!$Q$2:$Q$55,1)</f>
        <v>2</v>
      </c>
      <c r="E43" s="17" t="n">
        <f aca="false">IFERROR(COUNTIFS(Avaliação!$D$2:$D$55,"1.1",Avaliação!$R$2:$R$55,1)/D43,"—")</f>
        <v>1</v>
      </c>
      <c r="F43" s="16" t="n">
        <f aca="false">COUNTIFS(Avaliação!$D$2:$D$55,"1.1",Avaliação!$P$2:$P$55,"Falso não atende")</f>
        <v>0</v>
      </c>
      <c r="G43" s="16" t="n">
        <f aca="false">COUNTIFS(Avaliação!$D$2:$D$55,"1.1",Avaliação!$P$2:$P$55,"Falso atende")</f>
        <v>0</v>
      </c>
      <c r="H43" s="16" t="n">
        <f aca="false">COUNTIFS(Avaliação!$D$2:$D$55,"1.1",Avaliação!$G$2:$G$55,"inconclusivo")</f>
        <v>0</v>
      </c>
    </row>
    <row r="44" customFormat="false" ht="15.75" hidden="false" customHeight="true" outlineLevel="0" collapsed="false">
      <c r="A44" s="15" t="s">
        <v>90</v>
      </c>
      <c r="B44" s="16" t="n">
        <f aca="false">COUNTIF(Avaliação!$D$2:$D$55,"1.2")</f>
        <v>2</v>
      </c>
      <c r="C44" s="16" t="n">
        <f aca="false">COUNTIFS(Avaliação!$D$2:$D$55,"1.2",Avaliação!$L$2:$L$55,"&lt;&gt;")</f>
        <v>2</v>
      </c>
      <c r="D44" s="16" t="n">
        <f aca="false">COUNTIFS(Avaliação!$D$2:$D$55,"1.2",Avaliação!$Q$2:$Q$55,1)</f>
        <v>2</v>
      </c>
      <c r="E44" s="17" t="n">
        <f aca="false">IFERROR(COUNTIFS(Avaliação!$D$2:$D$55,"1.2",Avaliação!$R$2:$R$55,1)/D44,"—")</f>
        <v>1</v>
      </c>
      <c r="F44" s="16" t="n">
        <f aca="false">COUNTIFS(Avaliação!$D$2:$D$55,"1.2",Avaliação!$P$2:$P$55,"Falso não atende")</f>
        <v>0</v>
      </c>
      <c r="G44" s="16" t="n">
        <f aca="false">COUNTIFS(Avaliação!$D$2:$D$55,"1.2",Avaliação!$P$2:$P$55,"Falso atende")</f>
        <v>0</v>
      </c>
      <c r="H44" s="16" t="n">
        <f aca="false">COUNTIFS(Avaliação!$D$2:$D$55,"1.2",Avaliação!$G$2:$G$55,"inconclusivo")</f>
        <v>0</v>
      </c>
    </row>
    <row r="45" customFormat="false" ht="15.75" hidden="false" customHeight="true" outlineLevel="0" collapsed="false">
      <c r="A45" s="15" t="s">
        <v>91</v>
      </c>
      <c r="B45" s="16" t="n">
        <f aca="false">COUNTIF(Avaliação!$D$2:$D$55,"1.3")</f>
        <v>2</v>
      </c>
      <c r="C45" s="16" t="n">
        <f aca="false">COUNTIFS(Avaliação!$D$2:$D$55,"1.3",Avaliação!$L$2:$L$55,"&lt;&gt;")</f>
        <v>2</v>
      </c>
      <c r="D45" s="16" t="n">
        <f aca="false">COUNTIFS(Avaliação!$D$2:$D$55,"1.3",Avaliação!$Q$2:$Q$55,1)</f>
        <v>2</v>
      </c>
      <c r="E45" s="17" t="n">
        <f aca="false">IFERROR(COUNTIFS(Avaliação!$D$2:$D$55,"1.3",Avaliação!$R$2:$R$55,1)/D45,"—")</f>
        <v>1</v>
      </c>
      <c r="F45" s="16" t="n">
        <f aca="false">COUNTIFS(Avaliação!$D$2:$D$55,"1.3",Avaliação!$P$2:$P$55,"Falso não atende")</f>
        <v>0</v>
      </c>
      <c r="G45" s="16" t="n">
        <f aca="false">COUNTIFS(Avaliação!$D$2:$D$55,"1.3",Avaliação!$P$2:$P$55,"Falso atende")</f>
        <v>0</v>
      </c>
      <c r="H45" s="16" t="n">
        <f aca="false">COUNTIFS(Avaliação!$D$2:$D$55,"1.3",Avaliação!$G$2:$G$55,"inconclusivo")</f>
        <v>0</v>
      </c>
    </row>
    <row r="46" customFormat="false" ht="15.75" hidden="false" customHeight="true" outlineLevel="0" collapsed="false">
      <c r="A46" s="15" t="s">
        <v>92</v>
      </c>
      <c r="B46" s="16" t="n">
        <f aca="false">COUNTIF(Avaliação!$D$2:$D$55,"2.1")</f>
        <v>2</v>
      </c>
      <c r="C46" s="16" t="n">
        <f aca="false">COUNTIFS(Avaliação!$D$2:$D$55,"2.1",Avaliação!$L$2:$L$55,"&lt;&gt;")</f>
        <v>2</v>
      </c>
      <c r="D46" s="16" t="n">
        <f aca="false">COUNTIFS(Avaliação!$D$2:$D$55,"2.1",Avaliação!$Q$2:$Q$55,1)</f>
        <v>2</v>
      </c>
      <c r="E46" s="17" t="n">
        <f aca="false">IFERROR(COUNTIFS(Avaliação!$D$2:$D$55,"2.1",Avaliação!$R$2:$R$55,1)/D46,"—")</f>
        <v>1</v>
      </c>
      <c r="F46" s="16" t="n">
        <f aca="false">COUNTIFS(Avaliação!$D$2:$D$55,"2.1",Avaliação!$P$2:$P$55,"Falso não atende")</f>
        <v>0</v>
      </c>
      <c r="G46" s="16" t="n">
        <f aca="false">COUNTIFS(Avaliação!$D$2:$D$55,"2.1",Avaliação!$P$2:$P$55,"Falso atende")</f>
        <v>0</v>
      </c>
      <c r="H46" s="16" t="n">
        <f aca="false">COUNTIFS(Avaliação!$D$2:$D$55,"2.1",Avaliação!$G$2:$G$55,"inconclusivo")</f>
        <v>0</v>
      </c>
    </row>
    <row r="47" customFormat="false" ht="15.75" hidden="false" customHeight="true" outlineLevel="0" collapsed="false">
      <c r="A47" s="15" t="s">
        <v>93</v>
      </c>
      <c r="B47" s="16" t="n">
        <f aca="false">COUNTIF(Avaliação!$D$2:$D$55,"2.4")</f>
        <v>2</v>
      </c>
      <c r="C47" s="16" t="n">
        <f aca="false">COUNTIFS(Avaliação!$D$2:$D$55,"2.4",Avaliação!$L$2:$L$55,"&lt;&gt;")</f>
        <v>2</v>
      </c>
      <c r="D47" s="16" t="n">
        <f aca="false">COUNTIFS(Avaliação!$D$2:$D$55,"2.4",Avaliação!$Q$2:$Q$55,1)</f>
        <v>2</v>
      </c>
      <c r="E47" s="17" t="n">
        <f aca="false">IFERROR(COUNTIFS(Avaliação!$D$2:$D$55,"2.4",Avaliação!$R$2:$R$55,1)/D47,"—")</f>
        <v>1</v>
      </c>
      <c r="F47" s="16" t="n">
        <f aca="false">COUNTIFS(Avaliação!$D$2:$D$55,"2.4",Avaliação!$P$2:$P$55,"Falso não atende")</f>
        <v>0</v>
      </c>
      <c r="G47" s="16" t="n">
        <f aca="false">COUNTIFS(Avaliação!$D$2:$D$55,"2.4",Avaliação!$P$2:$P$55,"Falso atende")</f>
        <v>0</v>
      </c>
      <c r="H47" s="16" t="n">
        <f aca="false">COUNTIFS(Avaliação!$D$2:$D$55,"2.4",Avaliação!$G$2:$G$55,"inconclusivo")</f>
        <v>0</v>
      </c>
    </row>
    <row r="48" customFormat="false" ht="15.75" hidden="false" customHeight="true" outlineLevel="0" collapsed="false">
      <c r="A48" s="15" t="s">
        <v>94</v>
      </c>
      <c r="B48" s="16" t="n">
        <f aca="false">COUNTIF(Avaliação!$D$2:$D$55,"2.5")</f>
        <v>2</v>
      </c>
      <c r="C48" s="16" t="n">
        <f aca="false">COUNTIFS(Avaliação!$D$2:$D$55,"2.5",Avaliação!$L$2:$L$55,"&lt;&gt;")</f>
        <v>2</v>
      </c>
      <c r="D48" s="16" t="n">
        <f aca="false">COUNTIFS(Avaliação!$D$2:$D$55,"2.5",Avaliação!$Q$2:$Q$55,1)</f>
        <v>2</v>
      </c>
      <c r="E48" s="17" t="n">
        <f aca="false">IFERROR(COUNTIFS(Avaliação!$D$2:$D$55,"2.5",Avaliação!$R$2:$R$55,1)/D48,"—")</f>
        <v>1</v>
      </c>
      <c r="F48" s="16" t="n">
        <f aca="false">COUNTIFS(Avaliação!$D$2:$D$55,"2.5",Avaliação!$P$2:$P$55,"Falso não atende")</f>
        <v>0</v>
      </c>
      <c r="G48" s="16" t="n">
        <f aca="false">COUNTIFS(Avaliação!$D$2:$D$55,"2.5",Avaliação!$P$2:$P$55,"Falso atende")</f>
        <v>0</v>
      </c>
      <c r="H48" s="16" t="n">
        <f aca="false">COUNTIFS(Avaliação!$D$2:$D$55,"2.5",Avaliação!$G$2:$G$55,"inconclusivo")</f>
        <v>0</v>
      </c>
    </row>
    <row r="49" customFormat="false" ht="15.75" hidden="false" customHeight="true" outlineLevel="0" collapsed="false">
      <c r="A49" s="15" t="s">
        <v>95</v>
      </c>
      <c r="B49" s="16" t="n">
        <f aca="false">COUNTIF(Avaliação!$D$2:$D$55,"2.6")</f>
        <v>2</v>
      </c>
      <c r="C49" s="16" t="n">
        <f aca="false">COUNTIFS(Avaliação!$D$2:$D$55,"2.6",Avaliação!$L$2:$L$55,"&lt;&gt;")</f>
        <v>2</v>
      </c>
      <c r="D49" s="16" t="n">
        <f aca="false">COUNTIFS(Avaliação!$D$2:$D$55,"2.6",Avaliação!$Q$2:$Q$55,1)</f>
        <v>2</v>
      </c>
      <c r="E49" s="17" t="n">
        <f aca="false">IFERROR(COUNTIFS(Avaliação!$D$2:$D$55,"2.6",Avaliação!$R$2:$R$55,1)/D49,"—")</f>
        <v>1</v>
      </c>
      <c r="F49" s="16" t="n">
        <f aca="false">COUNTIFS(Avaliação!$D$2:$D$55,"2.6",Avaliação!$P$2:$P$55,"Falso não atende")</f>
        <v>0</v>
      </c>
      <c r="G49" s="16" t="n">
        <f aca="false">COUNTIFS(Avaliação!$D$2:$D$55,"2.6",Avaliação!$P$2:$P$55,"Falso atende")</f>
        <v>0</v>
      </c>
      <c r="H49" s="16" t="n">
        <f aca="false">COUNTIFS(Avaliação!$D$2:$D$55,"2.6",Avaliação!$G$2:$G$55,"inconclusivo")</f>
        <v>0</v>
      </c>
    </row>
    <row r="50" customFormat="false" ht="15.75" hidden="false" customHeight="true" outlineLevel="0" collapsed="false">
      <c r="A50" s="15" t="s">
        <v>96</v>
      </c>
      <c r="B50" s="16" t="n">
        <f aca="false">COUNTIF(Avaliação!$D$2:$D$55,"2.9")</f>
        <v>2</v>
      </c>
      <c r="C50" s="16" t="n">
        <f aca="false">COUNTIFS(Avaliação!$D$2:$D$55,"2.9",Avaliação!$L$2:$L$55,"&lt;&gt;")</f>
        <v>2</v>
      </c>
      <c r="D50" s="16" t="n">
        <f aca="false">COUNTIFS(Avaliação!$D$2:$D$55,"2.9",Avaliação!$Q$2:$Q$55,1)</f>
        <v>2</v>
      </c>
      <c r="E50" s="17" t="n">
        <f aca="false">IFERROR(COUNTIFS(Avaliação!$D$2:$D$55,"2.9",Avaliação!$R$2:$R$55,1)/D50,"—")</f>
        <v>1</v>
      </c>
      <c r="F50" s="16" t="n">
        <f aca="false">COUNTIFS(Avaliação!$D$2:$D$55,"2.9",Avaliação!$P$2:$P$55,"Falso não atende")</f>
        <v>0</v>
      </c>
      <c r="G50" s="16" t="n">
        <f aca="false">COUNTIFS(Avaliação!$D$2:$D$55,"2.9",Avaliação!$P$2:$P$55,"Falso atende")</f>
        <v>0</v>
      </c>
      <c r="H50" s="16" t="n">
        <f aca="false">COUNTIFS(Avaliação!$D$2:$D$55,"2.9",Avaliação!$G$2:$G$55,"inconclusivo")</f>
        <v>0</v>
      </c>
    </row>
    <row r="51" customFormat="false" ht="15.75" hidden="false" customHeight="true" outlineLevel="0" collapsed="false">
      <c r="A51" s="15" t="s">
        <v>97</v>
      </c>
      <c r="B51" s="16" t="n">
        <f aca="false">COUNTIF(Avaliação!$D$2:$D$55,"3.1")</f>
        <v>2</v>
      </c>
      <c r="C51" s="16" t="n">
        <f aca="false">COUNTIFS(Avaliação!$D$2:$D$55,"3.1",Avaliação!$L$2:$L$55,"&lt;&gt;")</f>
        <v>2</v>
      </c>
      <c r="D51" s="16" t="n">
        <f aca="false">COUNTIFS(Avaliação!$D$2:$D$55,"3.1",Avaliação!$Q$2:$Q$55,1)</f>
        <v>1</v>
      </c>
      <c r="E51" s="17" t="n">
        <f aca="false">IFERROR(COUNTIFS(Avaliação!$D$2:$D$55,"3.1",Avaliação!$R$2:$R$55,1)/D51,"—")</f>
        <v>1</v>
      </c>
      <c r="F51" s="16" t="n">
        <f aca="false">COUNTIFS(Avaliação!$D$2:$D$55,"3.1",Avaliação!$P$2:$P$55,"Falso não atende")</f>
        <v>0</v>
      </c>
      <c r="G51" s="16" t="n">
        <f aca="false">COUNTIFS(Avaliação!$D$2:$D$55,"3.1",Avaliação!$P$2:$P$55,"Falso atende")</f>
        <v>0</v>
      </c>
      <c r="H51" s="16" t="n">
        <f aca="false">COUNTIFS(Avaliação!$D$2:$D$55,"3.1",Avaliação!$G$2:$G$55,"inconclusivo")</f>
        <v>1</v>
      </c>
    </row>
    <row r="52" customFormat="false" ht="15.75" hidden="false" customHeight="true" outlineLevel="0" collapsed="false">
      <c r="A52" s="15" t="s">
        <v>98</v>
      </c>
      <c r="B52" s="16" t="n">
        <f aca="false">COUNTIF(Avaliação!$D$2:$D$55,"3.5")</f>
        <v>2</v>
      </c>
      <c r="C52" s="16" t="n">
        <f aca="false">COUNTIFS(Avaliação!$D$2:$D$55,"3.5",Avaliação!$L$2:$L$55,"&lt;&gt;")</f>
        <v>2</v>
      </c>
      <c r="D52" s="16" t="n">
        <f aca="false">COUNTIFS(Avaliação!$D$2:$D$55,"3.5",Avaliação!$Q$2:$Q$55,1)</f>
        <v>2</v>
      </c>
      <c r="E52" s="17" t="n">
        <f aca="false">IFERROR(COUNTIFS(Avaliação!$D$2:$D$55,"3.5",Avaliação!$R$2:$R$55,1)/D52,"—")</f>
        <v>1</v>
      </c>
      <c r="F52" s="16" t="n">
        <f aca="false">COUNTIFS(Avaliação!$D$2:$D$55,"3.5",Avaliação!$P$2:$P$55,"Falso não atende")</f>
        <v>0</v>
      </c>
      <c r="G52" s="16" t="n">
        <f aca="false">COUNTIFS(Avaliação!$D$2:$D$55,"3.5",Avaliação!$P$2:$P$55,"Falso atende")</f>
        <v>0</v>
      </c>
      <c r="H52" s="16" t="n">
        <f aca="false">COUNTIFS(Avaliação!$D$2:$D$55,"3.5",Avaliação!$G$2:$G$55,"inconclusivo")</f>
        <v>0</v>
      </c>
    </row>
    <row r="53" customFormat="false" ht="15.75" hidden="false" customHeight="true" outlineLevel="0" collapsed="false">
      <c r="A53" s="15" t="s">
        <v>34</v>
      </c>
      <c r="B53" s="16" t="n">
        <f aca="false">COUNTIF(Avaliação!$D$2:$D$55,"4.1")</f>
        <v>2</v>
      </c>
      <c r="C53" s="16" t="n">
        <f aca="false">COUNTIFS(Avaliação!$D$2:$D$55,"4.1",Avaliação!$L$2:$L$55,"&lt;&gt;")</f>
        <v>2</v>
      </c>
      <c r="D53" s="16" t="n">
        <f aca="false">COUNTIFS(Avaliação!$D$2:$D$55,"4.1",Avaliação!$Q$2:$Q$55,1)</f>
        <v>1</v>
      </c>
      <c r="E53" s="17" t="n">
        <f aca="false">IFERROR(COUNTIFS(Avaliação!$D$2:$D$55,"4.1",Avaliação!$R$2:$R$55,1)/D53,"—")</f>
        <v>1</v>
      </c>
      <c r="F53" s="16" t="n">
        <f aca="false">COUNTIFS(Avaliação!$D$2:$D$55,"4.1",Avaliação!$P$2:$P$55,"Falso não atende")</f>
        <v>0</v>
      </c>
      <c r="G53" s="16" t="n">
        <f aca="false">COUNTIFS(Avaliação!$D$2:$D$55,"4.1",Avaliação!$P$2:$P$55,"Falso atende")</f>
        <v>0</v>
      </c>
      <c r="H53" s="16" t="n">
        <f aca="false">COUNTIFS(Avaliação!$D$2:$D$55,"4.1",Avaliação!$G$2:$G$55,"inconclusivo")</f>
        <v>1</v>
      </c>
    </row>
    <row r="54" customFormat="false" ht="15.75" hidden="false" customHeight="true" outlineLevel="0" collapsed="false">
      <c r="A54" s="15" t="s">
        <v>99</v>
      </c>
      <c r="B54" s="16" t="n">
        <f aca="false">COUNTIF(Avaliação!$D$2:$D$55,"4.5")</f>
        <v>2</v>
      </c>
      <c r="C54" s="16" t="n">
        <f aca="false">COUNTIFS(Avaliação!$D$2:$D$55,"4.5",Avaliação!$L$2:$L$55,"&lt;&gt;")</f>
        <v>2</v>
      </c>
      <c r="D54" s="16" t="n">
        <f aca="false">COUNTIFS(Avaliação!$D$2:$D$55,"4.5",Avaliação!$Q$2:$Q$55,1)</f>
        <v>2</v>
      </c>
      <c r="E54" s="17" t="n">
        <f aca="false">IFERROR(COUNTIFS(Avaliação!$D$2:$D$55,"4.5",Avaliação!$R$2:$R$55,1)/D54,"—")</f>
        <v>0.5</v>
      </c>
      <c r="F54" s="16" t="n">
        <f aca="false">COUNTIFS(Avaliação!$D$2:$D$55,"4.5",Avaliação!$P$2:$P$55,"Falso não atende")</f>
        <v>1</v>
      </c>
      <c r="G54" s="16" t="n">
        <f aca="false">COUNTIFS(Avaliação!$D$2:$D$55,"4.5",Avaliação!$P$2:$P$55,"Falso atende")</f>
        <v>0</v>
      </c>
      <c r="H54" s="16" t="n">
        <f aca="false">COUNTIFS(Avaliação!$D$2:$D$55,"4.5",Avaliação!$G$2:$G$55,"inconclusivo")</f>
        <v>0</v>
      </c>
    </row>
    <row r="55" customFormat="false" ht="15.75" hidden="false" customHeight="true" outlineLevel="0" collapsed="false">
      <c r="A55" s="15" t="s">
        <v>100</v>
      </c>
      <c r="B55" s="16" t="n">
        <f aca="false">COUNTIF(Avaliação!$D$2:$D$55,"4.6")</f>
        <v>2</v>
      </c>
      <c r="C55" s="16" t="n">
        <f aca="false">COUNTIFS(Avaliação!$D$2:$D$55,"4.6",Avaliação!$L$2:$L$55,"&lt;&gt;")</f>
        <v>2</v>
      </c>
      <c r="D55" s="16" t="n">
        <f aca="false">COUNTIFS(Avaliação!$D$2:$D$55,"4.6",Avaliação!$Q$2:$Q$55,1)</f>
        <v>1</v>
      </c>
      <c r="E55" s="17" t="n">
        <f aca="false">IFERROR(COUNTIFS(Avaliação!$D$2:$D$55,"4.6",Avaliação!$R$2:$R$55,1)/D55,"—")</f>
        <v>0</v>
      </c>
      <c r="F55" s="16" t="n">
        <f aca="false">COUNTIFS(Avaliação!$D$2:$D$55,"4.6",Avaliação!$P$2:$P$55,"Falso não atende")</f>
        <v>1</v>
      </c>
      <c r="G55" s="16" t="n">
        <f aca="false">COUNTIFS(Avaliação!$D$2:$D$55,"4.6",Avaliação!$P$2:$P$55,"Falso atende")</f>
        <v>0</v>
      </c>
      <c r="H55" s="16" t="n">
        <f aca="false">COUNTIFS(Avaliação!$D$2:$D$55,"4.6",Avaliação!$G$2:$G$55,"inconclusivo")</f>
        <v>1</v>
      </c>
    </row>
    <row r="56" customFormat="false" ht="15.75" hidden="false" customHeight="true" outlineLevel="0" collapsed="false">
      <c r="A56" s="15" t="s">
        <v>101</v>
      </c>
      <c r="B56" s="16" t="n">
        <f aca="false">COUNTIF(Avaliação!$D$2:$D$55,"4.7")</f>
        <v>2</v>
      </c>
      <c r="C56" s="16" t="n">
        <f aca="false">COUNTIFS(Avaliação!$D$2:$D$55,"4.7",Avaliação!$L$2:$L$55,"&lt;&gt;")</f>
        <v>2</v>
      </c>
      <c r="D56" s="16" t="n">
        <f aca="false">COUNTIFS(Avaliação!$D$2:$D$55,"4.7",Avaliação!$Q$2:$Q$55,1)</f>
        <v>0</v>
      </c>
      <c r="E56" s="17" t="str">
        <f aca="false">IFERROR(COUNTIFS(Avaliação!$D$2:$D$55,"4.7",Avaliação!$R$2:$R$55,1)/D56,"—")</f>
        <v>—</v>
      </c>
      <c r="F56" s="16" t="n">
        <f aca="false">COUNTIFS(Avaliação!$D$2:$D$55,"4.7",Avaliação!$P$2:$P$55,"Falso não atende")</f>
        <v>0</v>
      </c>
      <c r="G56" s="16" t="n">
        <f aca="false">COUNTIFS(Avaliação!$D$2:$D$55,"4.7",Avaliação!$P$2:$P$55,"Falso atende")</f>
        <v>0</v>
      </c>
      <c r="H56" s="16" t="n">
        <f aca="false">COUNTIFS(Avaliação!$D$2:$D$55,"4.7",Avaliação!$G$2:$G$55,"inconclusivo")</f>
        <v>2</v>
      </c>
    </row>
    <row r="57" customFormat="false" ht="15.75" hidden="false" customHeight="true" outlineLevel="0" collapsed="false">
      <c r="A57" s="15" t="s">
        <v>102</v>
      </c>
      <c r="B57" s="16" t="n">
        <f aca="false">COUNTIF(Avaliação!$D$2:$D$55,"12.1")</f>
        <v>2</v>
      </c>
      <c r="C57" s="16" t="n">
        <f aca="false">COUNTIFS(Avaliação!$D$2:$D$55,"12.1",Avaliação!$L$2:$L$55,"&lt;&gt;")</f>
        <v>2</v>
      </c>
      <c r="D57" s="16" t="n">
        <f aca="false">COUNTIFS(Avaliação!$D$2:$D$55,"12.1",Avaliação!$Q$2:$Q$55,1)</f>
        <v>2</v>
      </c>
      <c r="E57" s="17" t="n">
        <f aca="false">IFERROR(COUNTIFS(Avaliação!$D$2:$D$55,"12.1",Avaliação!$R$2:$R$55,1)/D57,"—")</f>
        <v>0</v>
      </c>
      <c r="F57" s="16" t="n">
        <f aca="false">COUNTIFS(Avaliação!$D$2:$D$55,"12.1",Avaliação!$P$2:$P$55,"Falso não atende")</f>
        <v>1</v>
      </c>
      <c r="G57" s="16" t="n">
        <f aca="false">COUNTIFS(Avaliação!$D$2:$D$55,"12.1",Avaliação!$P$2:$P$55,"Falso atende")</f>
        <v>0</v>
      </c>
      <c r="H57" s="16" t="n">
        <f aca="false">COUNTIFS(Avaliação!$D$2:$D$55,"12.1",Avaliação!$G$2:$G$55,"inconclusivo")</f>
        <v>0</v>
      </c>
    </row>
    <row r="58" customFormat="false" ht="15.75" hidden="false" customHeight="true" outlineLevel="0" collapsed="false">
      <c r="A58" s="15" t="s">
        <v>103</v>
      </c>
      <c r="B58" s="16" t="n">
        <f aca="false">COUNTIF(Avaliação!$D$2:$D$55,"15.1")</f>
        <v>2</v>
      </c>
      <c r="C58" s="16" t="n">
        <f aca="false">COUNTIFS(Avaliação!$D$2:$D$55,"15.1",Avaliação!$L$2:$L$55,"&lt;&gt;")</f>
        <v>2</v>
      </c>
      <c r="D58" s="16" t="n">
        <f aca="false">COUNTIFS(Avaliação!$D$2:$D$55,"15.1",Avaliação!$Q$2:$Q$55,1)</f>
        <v>1</v>
      </c>
      <c r="E58" s="17" t="n">
        <f aca="false">IFERROR(COUNTIFS(Avaliação!$D$2:$D$55,"15.1",Avaliação!$R$2:$R$55,1)/D58,"—")</f>
        <v>1</v>
      </c>
      <c r="F58" s="16" t="n">
        <f aca="false">COUNTIFS(Avaliação!$D$2:$D$55,"15.1",Avaliação!$P$2:$P$55,"Falso não atende")</f>
        <v>0</v>
      </c>
      <c r="G58" s="16" t="n">
        <f aca="false">COUNTIFS(Avaliação!$D$2:$D$55,"15.1",Avaliação!$P$2:$P$55,"Falso atende")</f>
        <v>0</v>
      </c>
      <c r="H58" s="16" t="n">
        <f aca="false">COUNTIFS(Avaliação!$D$2:$D$55,"15.1",Avaliação!$G$2:$G$55,"inconclusivo")</f>
        <v>1</v>
      </c>
    </row>
    <row r="59" customFormat="false" ht="15.75" hidden="false" customHeight="true" outlineLevel="0" collapsed="false">
      <c r="A59" s="15" t="s">
        <v>104</v>
      </c>
      <c r="B59" s="16" t="n">
        <f aca="false">COUNTIF(Avaliação!$D$2:$D$55,"15.2")</f>
        <v>2</v>
      </c>
      <c r="C59" s="16" t="n">
        <f aca="false">COUNTIFS(Avaliação!$D$2:$D$55,"15.2",Avaliação!$L$2:$L$55,"&lt;&gt;")</f>
        <v>2</v>
      </c>
      <c r="D59" s="16" t="n">
        <f aca="false">COUNTIFS(Avaliação!$D$2:$D$55,"15.2",Avaliação!$Q$2:$Q$55,1)</f>
        <v>0</v>
      </c>
      <c r="E59" s="17" t="str">
        <f aca="false">IFERROR(COUNTIFS(Avaliação!$D$2:$D$55,"15.2",Avaliação!$R$2:$R$55,1)/D59,"—")</f>
        <v>—</v>
      </c>
      <c r="F59" s="16" t="n">
        <f aca="false">COUNTIFS(Avaliação!$D$2:$D$55,"15.2",Avaliação!$P$2:$P$55,"Falso não atende")</f>
        <v>0</v>
      </c>
      <c r="G59" s="16" t="n">
        <f aca="false">COUNTIFS(Avaliação!$D$2:$D$55,"15.2",Avaliação!$P$2:$P$55,"Falso atende")</f>
        <v>0</v>
      </c>
      <c r="H59" s="16" t="n">
        <f aca="false">COUNTIFS(Avaliação!$D$2:$D$55,"15.2",Avaliação!$G$2:$G$55,"inconclusivo")</f>
        <v>2</v>
      </c>
    </row>
    <row r="60" customFormat="false" ht="15.75" hidden="false" customHeight="true" outlineLevel="0" collapsed="false">
      <c r="A60" s="15" t="s">
        <v>105</v>
      </c>
      <c r="B60" s="16" t="n">
        <f aca="false">COUNTIF(Avaliação!$D$2:$D$55,"15.4")</f>
        <v>2</v>
      </c>
      <c r="C60" s="16" t="n">
        <f aca="false">COUNTIFS(Avaliação!$D$2:$D$55,"15.4",Avaliação!$L$2:$L$55,"&lt;&gt;")</f>
        <v>2</v>
      </c>
      <c r="D60" s="16" t="n">
        <f aca="false">COUNTIFS(Avaliação!$D$2:$D$55,"15.4",Avaliação!$Q$2:$Q$55,1)</f>
        <v>1</v>
      </c>
      <c r="E60" s="17" t="n">
        <f aca="false">IFERROR(COUNTIFS(Avaliação!$D$2:$D$55,"15.4",Avaliação!$R$2:$R$55,1)/D60,"—")</f>
        <v>1</v>
      </c>
      <c r="F60" s="16" t="n">
        <f aca="false">COUNTIFS(Avaliação!$D$2:$D$55,"15.4",Avaliação!$P$2:$P$55,"Falso não atende")</f>
        <v>0</v>
      </c>
      <c r="G60" s="16" t="n">
        <f aca="false">COUNTIFS(Avaliação!$D$2:$D$55,"15.4",Avaliação!$P$2:$P$55,"Falso atende")</f>
        <v>0</v>
      </c>
      <c r="H60" s="16" t="n">
        <f aca="false">COUNTIFS(Avaliação!$D$2:$D$55,"15.4",Avaliação!$G$2:$G$55,"inconclusivo")</f>
        <v>1</v>
      </c>
    </row>
    <row r="61" customFormat="false" ht="15.75" hidden="false" customHeight="true" outlineLevel="0" collapsed="false">
      <c r="A61" s="15" t="s">
        <v>106</v>
      </c>
      <c r="B61" s="16" t="n">
        <f aca="false">COUNTIF(Avaliação!$D$2:$D$55,"16.1")</f>
        <v>2</v>
      </c>
      <c r="C61" s="16" t="n">
        <f aca="false">COUNTIFS(Avaliação!$D$2:$D$55,"16.1",Avaliação!$L$2:$L$55,"&lt;&gt;")</f>
        <v>2</v>
      </c>
      <c r="D61" s="16" t="n">
        <f aca="false">COUNTIFS(Avaliação!$D$2:$D$55,"16.1",Avaliação!$Q$2:$Q$55,1)</f>
        <v>2</v>
      </c>
      <c r="E61" s="17" t="n">
        <f aca="false">IFERROR(COUNTIFS(Avaliação!$D$2:$D$55,"16.1",Avaliação!$R$2:$R$55,1)/D61,"—")</f>
        <v>0.5</v>
      </c>
      <c r="F61" s="16" t="n">
        <f aca="false">COUNTIFS(Avaliação!$D$2:$D$55,"16.1",Avaliação!$P$2:$P$55,"Falso não atende")</f>
        <v>1</v>
      </c>
      <c r="G61" s="16" t="n">
        <f aca="false">COUNTIFS(Avaliação!$D$2:$D$55,"16.1",Avaliação!$P$2:$P$55,"Falso atende")</f>
        <v>0</v>
      </c>
      <c r="H61" s="16" t="n">
        <f aca="false">COUNTIFS(Avaliação!$D$2:$D$55,"16.1",Avaliação!$G$2:$G$55,"inconclusivo")</f>
        <v>0</v>
      </c>
    </row>
    <row r="62" customFormat="false" ht="15.75" hidden="false" customHeight="true" outlineLevel="0" collapsed="false">
      <c r="A62" s="15" t="s">
        <v>107</v>
      </c>
      <c r="B62" s="16" t="n">
        <f aca="false">COUNTIF(Avaliação!$D$2:$D$55,"16.2")</f>
        <v>2</v>
      </c>
      <c r="C62" s="16" t="n">
        <f aca="false">COUNTIFS(Avaliação!$D$2:$D$55,"16.2",Avaliação!$L$2:$L$55,"&lt;&gt;")</f>
        <v>2</v>
      </c>
      <c r="D62" s="16" t="n">
        <f aca="false">COUNTIFS(Avaliação!$D$2:$D$55,"16.2",Avaliação!$Q$2:$Q$55,1)</f>
        <v>2</v>
      </c>
      <c r="E62" s="17" t="n">
        <f aca="false">IFERROR(COUNTIFS(Avaliação!$D$2:$D$55,"16.2",Avaliação!$R$2:$R$55,1)/D62,"—")</f>
        <v>1</v>
      </c>
      <c r="F62" s="16" t="n">
        <f aca="false">COUNTIFS(Avaliação!$D$2:$D$55,"16.2",Avaliação!$P$2:$P$55,"Falso não atende")</f>
        <v>0</v>
      </c>
      <c r="G62" s="16" t="n">
        <f aca="false">COUNTIFS(Avaliação!$D$2:$D$55,"16.2",Avaliação!$P$2:$P$55,"Falso atende")</f>
        <v>0</v>
      </c>
      <c r="H62" s="16" t="n">
        <f aca="false">COUNTIFS(Avaliação!$D$2:$D$55,"16.2",Avaliação!$G$2:$G$55,"inconclusivo")</f>
        <v>0</v>
      </c>
    </row>
    <row r="63" customFormat="false" ht="15.75" hidden="false" customHeight="true" outlineLevel="0" collapsed="false">
      <c r="A63" s="15" t="s">
        <v>108</v>
      </c>
      <c r="B63" s="16" t="n">
        <f aca="false">COUNTIF(Avaliação!$D$2:$D$55,"16.3")</f>
        <v>2</v>
      </c>
      <c r="C63" s="16" t="n">
        <f aca="false">COUNTIFS(Avaliação!$D$2:$D$55,"16.3",Avaliação!$L$2:$L$55,"&lt;&gt;")</f>
        <v>2</v>
      </c>
      <c r="D63" s="16" t="n">
        <f aca="false">COUNTIFS(Avaliação!$D$2:$D$55,"16.3",Avaliação!$Q$2:$Q$55,1)</f>
        <v>1</v>
      </c>
      <c r="E63" s="17" t="n">
        <f aca="false">IFERROR(COUNTIFS(Avaliação!$D$2:$D$55,"16.3",Avaliação!$R$2:$R$55,1)/D63,"—")</f>
        <v>1</v>
      </c>
      <c r="F63" s="16" t="n">
        <f aca="false">COUNTIFS(Avaliação!$D$2:$D$55,"16.3",Avaliação!$P$2:$P$55,"Falso não atende")</f>
        <v>0</v>
      </c>
      <c r="G63" s="16" t="n">
        <f aca="false">COUNTIFS(Avaliação!$D$2:$D$55,"16.3",Avaliação!$P$2:$P$55,"Falso atende")</f>
        <v>0</v>
      </c>
      <c r="H63" s="16" t="n">
        <f aca="false">COUNTIFS(Avaliação!$D$2:$D$55,"16.3",Avaliação!$G$2:$G$55,"inconclusivo")</f>
        <v>0</v>
      </c>
    </row>
    <row r="64" customFormat="false" ht="15.75" hidden="false" customHeight="true" outlineLevel="0" collapsed="false">
      <c r="A64" s="15" t="s">
        <v>109</v>
      </c>
      <c r="B64" s="16" t="n">
        <f aca="false">COUNTIF(Avaliação!$D$2:$D$55,"18.1")</f>
        <v>2</v>
      </c>
      <c r="C64" s="16" t="n">
        <f aca="false">COUNTIFS(Avaliação!$D$2:$D$55,"18.1",Avaliação!$L$2:$L$55,"&lt;&gt;")</f>
        <v>2</v>
      </c>
      <c r="D64" s="16" t="n">
        <f aca="false">COUNTIFS(Avaliação!$D$2:$D$55,"18.1",Avaliação!$Q$2:$Q$55,1)</f>
        <v>1</v>
      </c>
      <c r="E64" s="17" t="n">
        <f aca="false">IFERROR(COUNTIFS(Avaliação!$D$2:$D$55,"18.1",Avaliação!$R$2:$R$55,1)/D64,"—")</f>
        <v>0</v>
      </c>
      <c r="F64" s="16" t="n">
        <f aca="false">COUNTIFS(Avaliação!$D$2:$D$55,"18.1",Avaliação!$P$2:$P$55,"Falso não atende")</f>
        <v>0</v>
      </c>
      <c r="G64" s="16" t="n">
        <f aca="false">COUNTIFS(Avaliação!$D$2:$D$55,"18.1",Avaliação!$P$2:$P$55,"Falso atende")</f>
        <v>0</v>
      </c>
      <c r="H64" s="16" t="n">
        <f aca="false">COUNTIFS(Avaliação!$D$2:$D$55,"18.1",Avaliação!$G$2:$G$55,"inconclusivo")</f>
        <v>1</v>
      </c>
    </row>
    <row r="65" customFormat="false" ht="15.75" hidden="false" customHeight="true" outlineLevel="0" collapsed="false">
      <c r="A65" s="15" t="s">
        <v>110</v>
      </c>
      <c r="B65" s="16" t="n">
        <f aca="false">COUNTIF(Avaliação!$D$2:$D$55,"18.3")</f>
        <v>2</v>
      </c>
      <c r="C65" s="16" t="n">
        <f aca="false">COUNTIFS(Avaliação!$D$2:$D$55,"18.3",Avaliação!$L$2:$L$55,"&lt;&gt;")</f>
        <v>2</v>
      </c>
      <c r="D65" s="16" t="n">
        <f aca="false">COUNTIFS(Avaliação!$D$2:$D$55,"18.3",Avaliação!$Q$2:$Q$55,1)</f>
        <v>2</v>
      </c>
      <c r="E65" s="17" t="n">
        <f aca="false">IFERROR(COUNTIFS(Avaliação!$D$2:$D$55,"18.3",Avaliação!$R$2:$R$55,1)/D65,"—")</f>
        <v>1</v>
      </c>
      <c r="F65" s="16" t="n">
        <f aca="false">COUNTIFS(Avaliação!$D$2:$D$55,"18.3",Avaliação!$P$2:$P$55,"Falso não atende")</f>
        <v>0</v>
      </c>
      <c r="G65" s="16" t="n">
        <f aca="false">COUNTIFS(Avaliação!$D$2:$D$55,"18.3",Avaliação!$P$2:$P$55,"Falso atende")</f>
        <v>0</v>
      </c>
      <c r="H65" s="16" t="n">
        <f aca="false">COUNTIFS(Avaliação!$D$2:$D$55,"18.3",Avaliação!$G$2:$G$55,"inconclusivo")</f>
        <v>0</v>
      </c>
    </row>
    <row r="66" customFormat="false" ht="15.75" hidden="false" customHeight="true" outlineLevel="0" collapsed="false">
      <c r="A66" s="15" t="s">
        <v>111</v>
      </c>
      <c r="B66" s="16" t="n">
        <f aca="false">COUNTIF(Avaliação!$D$2:$D$55,"19.1")</f>
        <v>2</v>
      </c>
      <c r="C66" s="16" t="n">
        <f aca="false">COUNTIFS(Avaliação!$D$2:$D$55,"19.1",Avaliação!$L$2:$L$55,"&lt;&gt;")</f>
        <v>2</v>
      </c>
      <c r="D66" s="16" t="n">
        <f aca="false">COUNTIFS(Avaliação!$D$2:$D$55,"19.1",Avaliação!$Q$2:$Q$55,1)</f>
        <v>2</v>
      </c>
      <c r="E66" s="17" t="n">
        <f aca="false">IFERROR(COUNTIFS(Avaliação!$D$2:$D$55,"19.1",Avaliação!$R$2:$R$55,1)/D66,"—")</f>
        <v>0.5</v>
      </c>
      <c r="F66" s="16" t="n">
        <f aca="false">COUNTIFS(Avaliação!$D$2:$D$55,"19.1",Avaliação!$P$2:$P$55,"Falso não atende")</f>
        <v>1</v>
      </c>
      <c r="G66" s="16" t="n">
        <f aca="false">COUNTIFS(Avaliação!$D$2:$D$55,"19.1",Avaliação!$P$2:$P$55,"Falso atende")</f>
        <v>0</v>
      </c>
      <c r="H66" s="16" t="n">
        <f aca="false">COUNTIFS(Avaliação!$D$2:$D$55,"19.1",Avaliação!$G$2:$G$55,"inconclusivo")</f>
        <v>0</v>
      </c>
    </row>
    <row r="67" customFormat="false" ht="15.75" hidden="false" customHeight="true" outlineLevel="0" collapsed="false">
      <c r="A67" s="15" t="s">
        <v>112</v>
      </c>
      <c r="B67" s="16" t="n">
        <f aca="false">COUNTIF(Avaliação!$D$2:$D$55,"19.3")</f>
        <v>2</v>
      </c>
      <c r="C67" s="16" t="n">
        <f aca="false">COUNTIFS(Avaliação!$D$2:$D$55,"19.3",Avaliação!$L$2:$L$55,"&lt;&gt;")</f>
        <v>2</v>
      </c>
      <c r="D67" s="16" t="n">
        <f aca="false">COUNTIFS(Avaliação!$D$2:$D$55,"19.3",Avaliação!$Q$2:$Q$55,1)</f>
        <v>2</v>
      </c>
      <c r="E67" s="17" t="n">
        <f aca="false">IFERROR(COUNTIFS(Avaliação!$D$2:$D$55,"19.3",Avaliação!$R$2:$R$55,1)/D67,"—")</f>
        <v>0.5</v>
      </c>
      <c r="F67" s="16" t="n">
        <f aca="false">COUNTIFS(Avaliação!$D$2:$D$55,"19.3",Avaliação!$P$2:$P$55,"Falso não atende")</f>
        <v>1</v>
      </c>
      <c r="G67" s="16" t="n">
        <f aca="false">COUNTIFS(Avaliação!$D$2:$D$55,"19.3",Avaliação!$P$2:$P$55,"Falso atende")</f>
        <v>0</v>
      </c>
      <c r="H67" s="16" t="n">
        <f aca="false">COUNTIFS(Avaliação!$D$2:$D$55,"19.3",Avaliação!$G$2:$G$55,"inconclusivo")</f>
        <v>0</v>
      </c>
    </row>
    <row r="68" customFormat="false" ht="15.75" hidden="false" customHeight="true" outlineLevel="0" collapsed="false">
      <c r="A68" s="15" t="s">
        <v>113</v>
      </c>
      <c r="B68" s="16" t="n">
        <f aca="false">COUNTIF(Avaliação!$D$2:$D$55,"19.5")</f>
        <v>2</v>
      </c>
      <c r="C68" s="16" t="n">
        <f aca="false">COUNTIFS(Avaliação!$D$2:$D$55,"19.5",Avaliação!$L$2:$L$55,"&lt;&gt;")</f>
        <v>2</v>
      </c>
      <c r="D68" s="16" t="n">
        <f aca="false">COUNTIFS(Avaliação!$D$2:$D$55,"19.5",Avaliação!$Q$2:$Q$55,1)</f>
        <v>2</v>
      </c>
      <c r="E68" s="17" t="n">
        <f aca="false">IFERROR(COUNTIFS(Avaliação!$D$2:$D$55,"19.5",Avaliação!$R$2:$R$55,1)/D68,"—")</f>
        <v>0.5</v>
      </c>
      <c r="F68" s="16" t="n">
        <f aca="false">COUNTIFS(Avaliação!$D$2:$D$55,"19.5",Avaliação!$P$2:$P$55,"Falso não atende")</f>
        <v>1</v>
      </c>
      <c r="G68" s="16" t="n">
        <f aca="false">COUNTIFS(Avaliação!$D$2:$D$55,"19.5",Avaliação!$P$2:$P$55,"Falso atende")</f>
        <v>0</v>
      </c>
      <c r="H68" s="16" t="n">
        <f aca="false">COUNTIFS(Avaliação!$D$2:$D$55,"19.5",Avaliação!$G$2:$G$55,"inconclusivo")</f>
        <v>0</v>
      </c>
    </row>
    <row r="69" customFormat="false" ht="15.75" hidden="false" customHeight="true" outlineLevel="0" collapsed="false">
      <c r="A69" s="15" t="s">
        <v>114</v>
      </c>
      <c r="B69" s="16" t="n">
        <f aca="false">COUNTIF(Avaliação!$D$2:$D$55,"20.1")</f>
        <v>2</v>
      </c>
      <c r="C69" s="16" t="n">
        <f aca="false">COUNTIFS(Avaliação!$D$2:$D$55,"20.1",Avaliação!$L$2:$L$55,"&lt;&gt;")</f>
        <v>2</v>
      </c>
      <c r="D69" s="16" t="n">
        <f aca="false">COUNTIFS(Avaliação!$D$2:$D$55,"20.1",Avaliação!$Q$2:$Q$55,1)</f>
        <v>1</v>
      </c>
      <c r="E69" s="17" t="n">
        <f aca="false">IFERROR(COUNTIFS(Avaliação!$D$2:$D$55,"20.1",Avaliação!$R$2:$R$55,1)/D69,"—")</f>
        <v>0</v>
      </c>
      <c r="F69" s="16" t="n">
        <f aca="false">COUNTIFS(Avaliação!$D$2:$D$55,"20.1",Avaliação!$P$2:$P$55,"Falso não atende")</f>
        <v>1</v>
      </c>
      <c r="G69" s="16" t="n">
        <f aca="false">COUNTIFS(Avaliação!$D$2:$D$55,"20.1",Avaliação!$P$2:$P$55,"Falso atende")</f>
        <v>0</v>
      </c>
      <c r="H69" s="16" t="n">
        <f aca="false">COUNTIFS(Avaliação!$D$2:$D$55,"20.1",Avaliação!$G$2:$G$55,"inconclusivo")</f>
        <v>1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>
      <c r="A72" s="13" t="s">
        <v>115</v>
      </c>
    </row>
    <row r="73" customFormat="false" ht="15.75" hidden="false" customHeight="true" outlineLevel="0" collapsed="false">
      <c r="A73" s="4" t="s">
        <v>82</v>
      </c>
      <c r="B73" s="4" t="s">
        <v>83</v>
      </c>
      <c r="C73" s="4" t="s">
        <v>84</v>
      </c>
      <c r="D73" s="4" t="s">
        <v>53</v>
      </c>
      <c r="E73" s="4" t="s">
        <v>85</v>
      </c>
      <c r="F73" s="4" t="s">
        <v>86</v>
      </c>
      <c r="G73" s="4" t="s">
        <v>87</v>
      </c>
      <c r="H73" s="4" t="s">
        <v>88</v>
      </c>
    </row>
    <row r="74" customFormat="false" ht="15.75" hidden="false" customHeight="true" outlineLevel="0" collapsed="false">
      <c r="A74" s="15" t="s">
        <v>32</v>
      </c>
      <c r="B74" s="16" t="n">
        <f aca="false">COUNTIF(Avaliação!$A$2:$A$55,"Japeri")</f>
        <v>27</v>
      </c>
      <c r="C74" s="16" t="n">
        <f aca="false">COUNTIFS(Avaliação!$A$2:$A$55,"Japeri",Avaliação!$L$2:$L$55,"&lt;&gt;")</f>
        <v>27</v>
      </c>
      <c r="D74" s="16" t="n">
        <f aca="false">COUNTIFS(Avaliação!$A$2:$A$55,"Japeri",Avaliação!$Q$2:$Q$55,1)</f>
        <v>21</v>
      </c>
      <c r="E74" s="17" t="n">
        <f aca="false">IFERROR(COUNTIFS(Avaliação!$A$2:$A$55,"Japeri",Avaliação!$R$2:$R$55,1)/D74,"—")</f>
        <v>0.714285714285714</v>
      </c>
      <c r="F74" s="16" t="n">
        <f aca="false">COUNTIFS(Avaliação!$A$2:$A$55,"Japeri",Avaliação!$P$2:$P$55,"Falso não atende")</f>
        <v>6</v>
      </c>
      <c r="G74" s="16" t="n">
        <f aca="false">COUNTIFS(Avaliação!$A$2:$A$55,"Japeri",Avaliação!$P$2:$P$55,"Falso atende")</f>
        <v>0</v>
      </c>
      <c r="H74" s="16" t="n">
        <f aca="false">COUNTIFS(Avaliação!$A$2:$A$55,"Japeri",Avaliação!$G$2:$G$55,"inconclusivo")</f>
        <v>6</v>
      </c>
    </row>
    <row r="75" customFormat="false" ht="15.75" hidden="false" customHeight="true" outlineLevel="0" collapsed="false">
      <c r="A75" s="15" t="s">
        <v>116</v>
      </c>
      <c r="B75" s="16" t="n">
        <f aca="false">COUNTIF(Avaliação!$A$2:$A$55,"Rio de Janeiro")</f>
        <v>27</v>
      </c>
      <c r="C75" s="16" t="n">
        <f aca="false">COUNTIFS(Avaliação!$A$2:$A$55,"Rio de Janeiro",Avaliação!$L$2:$L$55,"&lt;&gt;")</f>
        <v>27</v>
      </c>
      <c r="D75" s="16" t="n">
        <f aca="false">COUNTIFS(Avaliação!$A$2:$A$55,"Rio de Janeiro",Avaliação!$Q$2:$Q$55,1)</f>
        <v>21</v>
      </c>
      <c r="E75" s="17" t="n">
        <f aca="false">IFERROR(COUNTIFS(Avaliação!$A$2:$A$55,"Rio de Janeiro",Avaliação!$R$2:$R$55,1)/D75,"—")</f>
        <v>0.80952380952381</v>
      </c>
      <c r="F75" s="16" t="n">
        <f aca="false">COUNTIFS(Avaliação!$A$2:$A$55,"Rio de Janeiro",Avaliação!$P$2:$P$55,"Falso não atende")</f>
        <v>2</v>
      </c>
      <c r="G75" s="16" t="n">
        <f aca="false">COUNTIFS(Avaliação!$A$2:$A$55,"Rio de Janeiro",Avaliação!$P$2:$P$55,"Falso atende")</f>
        <v>0</v>
      </c>
      <c r="H75" s="16" t="n">
        <f aca="false">COUNTIFS(Avaliação!$A$2:$A$55,"Rio de Janeiro",Avaliação!$G$2:$G$55,"inconclusivo")</f>
        <v>5</v>
      </c>
    </row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C2:H2"/>
    <mergeCell ref="C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46"/>
    <col collapsed="false" customWidth="true" hidden="false" outlineLevel="0" max="10" min="10" style="0" width="34"/>
    <col collapsed="false" customWidth="true" hidden="false" outlineLevel="0" max="11" min="11" style="0" width="40"/>
    <col collapsed="false" customWidth="true" hidden="false" outlineLevel="0" max="12" min="12" style="0" width="15"/>
    <col collapsed="false" customWidth="true" hidden="false" outlineLevel="0" max="13" min="13" style="0" width="30"/>
    <col collapsed="false" customWidth="true" hidden="false" outlineLevel="0" max="14" min="14" style="0" width="26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8" min="17" style="0" width="9"/>
    <col collapsed="false" customWidth="true" hidden="false" outlineLevel="0" max="26" min="19" style="0" width="8.71"/>
  </cols>
  <sheetData>
    <row r="1" customFormat="false" ht="39.5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117</v>
      </c>
      <c r="Q1" s="4" t="s">
        <v>118</v>
      </c>
      <c r="R1" s="4" t="s">
        <v>119</v>
      </c>
    </row>
    <row r="2" customFormat="false" ht="22.35" hidden="true" customHeight="false" outlineLevel="0" collapsed="false">
      <c r="A2" s="18" t="s">
        <v>32</v>
      </c>
      <c r="B2" s="18" t="n">
        <v>34</v>
      </c>
      <c r="C2" s="18" t="s">
        <v>120</v>
      </c>
      <c r="D2" s="18" t="s">
        <v>89</v>
      </c>
      <c r="E2" s="19" t="s">
        <v>121</v>
      </c>
      <c r="F2" s="18" t="s">
        <v>36</v>
      </c>
      <c r="G2" s="18" t="s">
        <v>40</v>
      </c>
      <c r="H2" s="20" t="n">
        <v>0.95</v>
      </c>
      <c r="I2" s="19" t="s">
        <v>122</v>
      </c>
      <c r="J2" s="21" t="s">
        <v>123</v>
      </c>
      <c r="K2" s="19" t="s">
        <v>124</v>
      </c>
      <c r="L2" s="22" t="s">
        <v>40</v>
      </c>
      <c r="M2" s="23" t="s">
        <v>123</v>
      </c>
      <c r="N2" s="23"/>
      <c r="O2" s="23"/>
      <c r="P2" s="24" t="str">
        <f aca="false">IF(L2="","",IF(G2="inconclusivo","Inconclusivo",IF(L2="nao_aplicavel","Aplicabilidade",IF(L2="nao_verificavel","Não verificável",IF(G2=L2,"Concordância",IF(G2="nao_atende","Falso não atende",IF(G2="atende","Falso atende","Divergência de grau")))))))</f>
        <v>Concordância</v>
      </c>
      <c r="Q2" s="25" t="n">
        <f aca="false">IF(AND(OR(G2="atende",G2="parcial",G2="nao_atende"),OR(L2="atende",L2="parcial",L2="nao_atende")),1,0)</f>
        <v>1</v>
      </c>
      <c r="R2" s="25" t="n">
        <f aca="false">IF(Q2=1,IF(G2=L2,1,0),"")</f>
        <v>1</v>
      </c>
    </row>
    <row r="3" customFormat="false" ht="22.35" hidden="true" customHeight="false" outlineLevel="0" collapsed="false">
      <c r="A3" s="18" t="s">
        <v>32</v>
      </c>
      <c r="B3" s="18" t="n">
        <v>34</v>
      </c>
      <c r="C3" s="18" t="s">
        <v>120</v>
      </c>
      <c r="D3" s="18" t="s">
        <v>90</v>
      </c>
      <c r="E3" s="19" t="s">
        <v>125</v>
      </c>
      <c r="F3" s="18" t="s">
        <v>36</v>
      </c>
      <c r="G3" s="18" t="s">
        <v>40</v>
      </c>
      <c r="H3" s="20" t="n">
        <v>0.9</v>
      </c>
      <c r="I3" s="19" t="s">
        <v>126</v>
      </c>
      <c r="J3" s="21" t="s">
        <v>127</v>
      </c>
      <c r="K3" s="19" t="s">
        <v>128</v>
      </c>
      <c r="L3" s="23" t="s">
        <v>40</v>
      </c>
      <c r="M3" s="23" t="s">
        <v>127</v>
      </c>
      <c r="N3" s="23"/>
      <c r="O3" s="23"/>
      <c r="P3" s="24" t="str">
        <f aca="false">IF(L3="","",IF(G3="inconclusivo","Inconclusivo",IF(L3="nao_aplicavel","Aplicabilidade",IF(L3="nao_verificavel","Não verificável",IF(G3=L3,"Concordância",IF(G3="nao_atende","Falso não atende",IF(G3="atende","Falso atende","Divergência de grau")))))))</f>
        <v>Concordância</v>
      </c>
      <c r="Q3" s="25" t="n">
        <f aca="false">IF(AND(OR(G3="atende",G3="parcial",G3="nao_atende"),OR(L3="atende",L3="parcial",L3="nao_atende")),1,0)</f>
        <v>1</v>
      </c>
      <c r="R3" s="25" t="n">
        <f aca="false">IF(Q3=1,IF(G3=L3,1,0),"")</f>
        <v>1</v>
      </c>
    </row>
    <row r="4" customFormat="false" ht="22.35" hidden="true" customHeight="false" outlineLevel="0" collapsed="false">
      <c r="A4" s="18" t="s">
        <v>32</v>
      </c>
      <c r="B4" s="18" t="n">
        <v>34</v>
      </c>
      <c r="C4" s="18" t="s">
        <v>120</v>
      </c>
      <c r="D4" s="18" t="s">
        <v>91</v>
      </c>
      <c r="E4" s="19" t="s">
        <v>129</v>
      </c>
      <c r="F4" s="18" t="s">
        <v>36</v>
      </c>
      <c r="G4" s="18" t="s">
        <v>40</v>
      </c>
      <c r="H4" s="20" t="n">
        <v>0.85</v>
      </c>
      <c r="I4" s="19" t="s">
        <v>130</v>
      </c>
      <c r="J4" s="21" t="s">
        <v>123</v>
      </c>
      <c r="K4" s="19" t="s">
        <v>131</v>
      </c>
      <c r="L4" s="23" t="s">
        <v>40</v>
      </c>
      <c r="M4" s="23" t="s">
        <v>123</v>
      </c>
      <c r="N4" s="23"/>
      <c r="O4" s="23"/>
      <c r="P4" s="24" t="str">
        <f aca="false">IF(L4="","",IF(G4="inconclusivo","Inconclusivo",IF(L4="nao_aplicavel","Aplicabilidade",IF(L4="nao_verificavel","Não verificável",IF(G4=L4,"Concordância",IF(G4="nao_atende","Falso não atende",IF(G4="atende","Falso atende","Divergência de grau")))))))</f>
        <v>Concordância</v>
      </c>
      <c r="Q4" s="25" t="n">
        <f aca="false">IF(AND(OR(G4="atende",G4="parcial",G4="nao_atende"),OR(L4="atende",L4="parcial",L4="nao_atende")),1,0)</f>
        <v>1</v>
      </c>
      <c r="R4" s="25" t="n">
        <f aca="false">IF(Q4=1,IF(G4=L4,1,0),"")</f>
        <v>1</v>
      </c>
    </row>
    <row r="5" customFormat="false" ht="74.6" hidden="true" customHeight="false" outlineLevel="0" collapsed="false">
      <c r="A5" s="18" t="s">
        <v>32</v>
      </c>
      <c r="B5" s="18" t="n">
        <v>34</v>
      </c>
      <c r="C5" s="18" t="s">
        <v>120</v>
      </c>
      <c r="D5" s="18" t="s">
        <v>92</v>
      </c>
      <c r="E5" s="19" t="s">
        <v>132</v>
      </c>
      <c r="F5" s="18" t="s">
        <v>133</v>
      </c>
      <c r="G5" s="18" t="s">
        <v>40</v>
      </c>
      <c r="H5" s="20" t="n">
        <v>0.75</v>
      </c>
      <c r="I5" s="19" t="s">
        <v>134</v>
      </c>
      <c r="J5" s="21" t="s">
        <v>135</v>
      </c>
      <c r="K5" s="19" t="s">
        <v>136</v>
      </c>
      <c r="L5" s="23" t="s">
        <v>40</v>
      </c>
      <c r="M5" s="23" t="s">
        <v>137</v>
      </c>
      <c r="N5" s="23"/>
      <c r="O5" s="23"/>
      <c r="P5" s="24" t="str">
        <f aca="false">IF(L5="","",IF(G5="inconclusivo","Inconclusivo",IF(L5="nao_aplicavel","Aplicabilidade",IF(L5="nao_verificavel","Não verificável",IF(G5=L5,"Concordância",IF(G5="nao_atende","Falso não atende",IF(G5="atende","Falso atende","Divergência de grau")))))))</f>
        <v>Concordância</v>
      </c>
      <c r="Q5" s="25" t="n">
        <f aca="false">IF(AND(OR(G5="atende",G5="parcial",G5="nao_atende"),OR(L5="atende",L5="parcial",L5="nao_atende")),1,0)</f>
        <v>1</v>
      </c>
      <c r="R5" s="25" t="n">
        <f aca="false">IF(Q5=1,IF(G5=L5,1,0),"")</f>
        <v>1</v>
      </c>
    </row>
    <row r="6" customFormat="false" ht="43.25" hidden="true" customHeight="false" outlineLevel="0" collapsed="false">
      <c r="A6" s="18" t="s">
        <v>32</v>
      </c>
      <c r="B6" s="18" t="n">
        <v>34</v>
      </c>
      <c r="C6" s="18" t="s">
        <v>120</v>
      </c>
      <c r="D6" s="18" t="s">
        <v>93</v>
      </c>
      <c r="E6" s="19" t="s">
        <v>138</v>
      </c>
      <c r="F6" s="18" t="s">
        <v>133</v>
      </c>
      <c r="G6" s="18" t="s">
        <v>40</v>
      </c>
      <c r="H6" s="20" t="n">
        <v>0.8</v>
      </c>
      <c r="I6" s="19" t="s">
        <v>139</v>
      </c>
      <c r="J6" s="21" t="s">
        <v>123</v>
      </c>
      <c r="K6" s="19" t="s">
        <v>140</v>
      </c>
      <c r="L6" s="23" t="s">
        <v>40</v>
      </c>
      <c r="M6" s="23" t="s">
        <v>123</v>
      </c>
      <c r="N6" s="23"/>
      <c r="O6" s="23"/>
      <c r="P6" s="24" t="str">
        <f aca="false">IF(L6="","",IF(G6="inconclusivo","Inconclusivo",IF(L6="nao_aplicavel","Aplicabilidade",IF(L6="nao_verificavel","Não verificável",IF(G6=L6,"Concordância",IF(G6="nao_atende","Falso não atende",IF(G6="atende","Falso atende","Divergência de grau")))))))</f>
        <v>Concordância</v>
      </c>
      <c r="Q6" s="25" t="n">
        <f aca="false">IF(AND(OR(G6="atende",G6="parcial",G6="nao_atende"),OR(L6="atende",L6="parcial",L6="nao_atende")),1,0)</f>
        <v>1</v>
      </c>
      <c r="R6" s="25" t="n">
        <f aca="false">IF(Q6=1,IF(G6=L6,1,0),"")</f>
        <v>1</v>
      </c>
    </row>
    <row r="7" customFormat="false" ht="43.25" hidden="true" customHeight="false" outlineLevel="0" collapsed="false">
      <c r="A7" s="18" t="s">
        <v>32</v>
      </c>
      <c r="B7" s="18" t="n">
        <v>34</v>
      </c>
      <c r="C7" s="18" t="s">
        <v>120</v>
      </c>
      <c r="D7" s="18" t="s">
        <v>94</v>
      </c>
      <c r="E7" s="19" t="s">
        <v>141</v>
      </c>
      <c r="F7" s="18" t="s">
        <v>133</v>
      </c>
      <c r="G7" s="18" t="s">
        <v>40</v>
      </c>
      <c r="H7" s="20" t="n">
        <v>0.8</v>
      </c>
      <c r="I7" s="19" t="s">
        <v>142</v>
      </c>
      <c r="J7" s="21" t="s">
        <v>123</v>
      </c>
      <c r="K7" s="19" t="s">
        <v>143</v>
      </c>
      <c r="L7" s="23" t="s">
        <v>40</v>
      </c>
      <c r="M7" s="23" t="s">
        <v>123</v>
      </c>
      <c r="N7" s="23"/>
      <c r="O7" s="23"/>
      <c r="P7" s="24" t="str">
        <f aca="false">IF(L7="","",IF(G7="inconclusivo","Inconclusivo",IF(L7="nao_aplicavel","Aplicabilidade",IF(L7="nao_verificavel","Não verificável",IF(G7=L7,"Concordância",IF(G7="nao_atende","Falso não atende",IF(G7="atende","Falso atende","Divergência de grau")))))))</f>
        <v>Concordância</v>
      </c>
      <c r="Q7" s="25" t="n">
        <f aca="false">IF(AND(OR(G7="atende",G7="parcial",G7="nao_atende"),OR(L7="atende",L7="parcial",L7="nao_atende")),1,0)</f>
        <v>1</v>
      </c>
      <c r="R7" s="25" t="n">
        <f aca="false">IF(Q7=1,IF(G7=L7,1,0),"")</f>
        <v>1</v>
      </c>
    </row>
    <row r="8" customFormat="false" ht="43.25" hidden="true" customHeight="false" outlineLevel="0" collapsed="false">
      <c r="A8" s="18" t="s">
        <v>32</v>
      </c>
      <c r="B8" s="18" t="n">
        <v>34</v>
      </c>
      <c r="C8" s="18" t="s">
        <v>120</v>
      </c>
      <c r="D8" s="18" t="s">
        <v>95</v>
      </c>
      <c r="E8" s="19" t="s">
        <v>144</v>
      </c>
      <c r="F8" s="18" t="s">
        <v>133</v>
      </c>
      <c r="G8" s="18" t="s">
        <v>40</v>
      </c>
      <c r="H8" s="20" t="n">
        <v>0.75</v>
      </c>
      <c r="I8" s="19" t="s">
        <v>145</v>
      </c>
      <c r="J8" s="21" t="s">
        <v>39</v>
      </c>
      <c r="K8" s="19" t="s">
        <v>146</v>
      </c>
      <c r="L8" s="23" t="s">
        <v>40</v>
      </c>
      <c r="M8" s="23" t="s">
        <v>147</v>
      </c>
      <c r="N8" s="23"/>
      <c r="O8" s="23"/>
      <c r="P8" s="24" t="str">
        <f aca="false">IF(L8="","",IF(G8="inconclusivo","Inconclusivo",IF(L8="nao_aplicavel","Aplicabilidade",IF(L8="nao_verificavel","Não verificável",IF(G8=L8,"Concordância",IF(G8="nao_atende","Falso não atende",IF(G8="atende","Falso atende","Divergência de grau")))))))</f>
        <v>Concordância</v>
      </c>
      <c r="Q8" s="25" t="n">
        <f aca="false">IF(AND(OR(G8="atende",G8="parcial",G8="nao_atende"),OR(L8="atende",L8="parcial",L8="nao_atende")),1,0)</f>
        <v>1</v>
      </c>
      <c r="R8" s="25" t="n">
        <f aca="false">IF(Q8=1,IF(G8=L8,1,0),"")</f>
        <v>1</v>
      </c>
    </row>
    <row r="9" customFormat="false" ht="32.8" hidden="true" customHeight="false" outlineLevel="0" collapsed="false">
      <c r="A9" s="18" t="s">
        <v>32</v>
      </c>
      <c r="B9" s="18" t="n">
        <v>34</v>
      </c>
      <c r="C9" s="18" t="s">
        <v>120</v>
      </c>
      <c r="D9" s="18" t="s">
        <v>96</v>
      </c>
      <c r="E9" s="19" t="s">
        <v>148</v>
      </c>
      <c r="F9" s="18" t="s">
        <v>133</v>
      </c>
      <c r="G9" s="18" t="s">
        <v>40</v>
      </c>
      <c r="H9" s="20" t="n">
        <v>0.7</v>
      </c>
      <c r="I9" s="19" t="s">
        <v>149</v>
      </c>
      <c r="J9" s="21" t="s">
        <v>150</v>
      </c>
      <c r="K9" s="19" t="s">
        <v>151</v>
      </c>
      <c r="L9" s="23" t="s">
        <v>40</v>
      </c>
      <c r="M9" s="23" t="s">
        <v>150</v>
      </c>
      <c r="N9" s="23"/>
      <c r="O9" s="23"/>
      <c r="P9" s="24" t="str">
        <f aca="false">IF(L9="","",IF(G9="inconclusivo","Inconclusivo",IF(L9="nao_aplicavel","Aplicabilidade",IF(L9="nao_verificavel","Não verificável",IF(G9=L9,"Concordância",IF(G9="nao_atende","Falso não atende",IF(G9="atende","Falso atende","Divergência de grau")))))))</f>
        <v>Concordância</v>
      </c>
      <c r="Q9" s="25" t="n">
        <f aca="false">IF(AND(OR(G9="atende",G9="parcial",G9="nao_atende"),OR(L9="atende",L9="parcial",L9="nao_atende")),1,0)</f>
        <v>1</v>
      </c>
      <c r="R9" s="25" t="n">
        <f aca="false">IF(Q9=1,IF(G9=L9,1,0),"")</f>
        <v>1</v>
      </c>
    </row>
    <row r="10" customFormat="false" ht="22.35" hidden="true" customHeight="false" outlineLevel="0" collapsed="false">
      <c r="A10" s="18" t="s">
        <v>32</v>
      </c>
      <c r="B10" s="18" t="n">
        <v>34</v>
      </c>
      <c r="C10" s="18" t="s">
        <v>120</v>
      </c>
      <c r="D10" s="18" t="s">
        <v>97</v>
      </c>
      <c r="E10" s="19" t="s">
        <v>152</v>
      </c>
      <c r="F10" s="18" t="s">
        <v>36</v>
      </c>
      <c r="G10" s="18" t="s">
        <v>40</v>
      </c>
      <c r="H10" s="20" t="n">
        <v>0.85</v>
      </c>
      <c r="I10" s="19" t="s">
        <v>153</v>
      </c>
      <c r="J10" s="21" t="s">
        <v>154</v>
      </c>
      <c r="K10" s="19" t="s">
        <v>155</v>
      </c>
      <c r="L10" s="23" t="s">
        <v>40</v>
      </c>
      <c r="M10" s="23" t="s">
        <v>147</v>
      </c>
      <c r="N10" s="23"/>
      <c r="O10" s="23"/>
      <c r="P10" s="24" t="str">
        <f aca="false">IF(L10="","",IF(G10="inconclusivo","Inconclusivo",IF(L10="nao_aplicavel","Aplicabilidade",IF(L10="nao_verificavel","Não verificável",IF(G10=L10,"Concordância",IF(G10="nao_atende","Falso não atende",IF(G10="atende","Falso atende","Divergência de grau")))))))</f>
        <v>Concordância</v>
      </c>
      <c r="Q10" s="25" t="n">
        <f aca="false">IF(AND(OR(G10="atende",G10="parcial",G10="nao_atende"),OR(L10="atende",L10="parcial",L10="nao_atende")),1,0)</f>
        <v>1</v>
      </c>
      <c r="R10" s="25" t="n">
        <f aca="false">IF(Q10=1,IF(G10=L10,1,0),"")</f>
        <v>1</v>
      </c>
    </row>
    <row r="11" customFormat="false" ht="22.35" hidden="true" customHeight="false" outlineLevel="0" collapsed="false">
      <c r="A11" s="18" t="s">
        <v>32</v>
      </c>
      <c r="B11" s="18" t="n">
        <v>34</v>
      </c>
      <c r="C11" s="18" t="s">
        <v>120</v>
      </c>
      <c r="D11" s="18" t="s">
        <v>98</v>
      </c>
      <c r="E11" s="19" t="s">
        <v>156</v>
      </c>
      <c r="F11" s="18" t="s">
        <v>133</v>
      </c>
      <c r="G11" s="18" t="s">
        <v>75</v>
      </c>
      <c r="H11" s="20" t="n">
        <v>0.7</v>
      </c>
      <c r="I11" s="19" t="s">
        <v>157</v>
      </c>
      <c r="J11" s="21" t="s">
        <v>158</v>
      </c>
      <c r="K11" s="19"/>
      <c r="L11" s="23" t="s">
        <v>75</v>
      </c>
      <c r="M11" s="23" t="s">
        <v>147</v>
      </c>
      <c r="N11" s="23"/>
      <c r="O11" s="23"/>
      <c r="P11" s="24" t="str">
        <f aca="false">IF(L11="","",IF(G11="inconclusivo","Inconclusivo",IF(L11="nao_aplicavel","Aplicabilidade",IF(L11="nao_verificavel","Não verificável",IF(G11=L11,"Concordância",IF(G11="nao_atende","Falso não atende",IF(G11="atende","Falso atende","Divergência de grau")))))))</f>
        <v>Concordância</v>
      </c>
      <c r="Q11" s="25" t="n">
        <f aca="false">IF(AND(OR(G11="atende",G11="parcial",G11="nao_atende"),OR(L11="atende",L11="parcial",L11="nao_atende")),1,0)</f>
        <v>1</v>
      </c>
      <c r="R11" s="25" t="n">
        <f aca="false">IF(Q11=1,IF(G11=L11,1,0),"")</f>
        <v>1</v>
      </c>
    </row>
    <row r="12" customFormat="false" ht="22.35" hidden="true" customHeight="false" outlineLevel="0" collapsed="false">
      <c r="A12" s="18" t="s">
        <v>32</v>
      </c>
      <c r="B12" s="18" t="n">
        <v>34</v>
      </c>
      <c r="C12" s="18" t="s">
        <v>120</v>
      </c>
      <c r="D12" s="18" t="s">
        <v>34</v>
      </c>
      <c r="E12" s="19" t="s">
        <v>35</v>
      </c>
      <c r="F12" s="18" t="s">
        <v>36</v>
      </c>
      <c r="G12" s="18" t="s">
        <v>40</v>
      </c>
      <c r="H12" s="20" t="n">
        <v>0.85</v>
      </c>
      <c r="I12" s="19" t="s">
        <v>159</v>
      </c>
      <c r="J12" s="21" t="s">
        <v>160</v>
      </c>
      <c r="K12" s="19" t="s">
        <v>161</v>
      </c>
      <c r="L12" s="23" t="s">
        <v>40</v>
      </c>
      <c r="M12" s="23" t="s">
        <v>147</v>
      </c>
      <c r="N12" s="23"/>
      <c r="O12" s="23"/>
      <c r="P12" s="24" t="str">
        <f aca="false">IF(L12="","",IF(G12="inconclusivo","Inconclusivo",IF(L12="nao_aplicavel","Aplicabilidade",IF(L12="nao_verificavel","Não verificável",IF(G12=L12,"Concordância",IF(G12="nao_atende","Falso não atende",IF(G12="atende","Falso atende","Divergência de grau")))))))</f>
        <v>Concordância</v>
      </c>
      <c r="Q12" s="25" t="n">
        <f aca="false">IF(AND(OR(G12="atende",G12="parcial",G12="nao_atende"),OR(L12="atende",L12="parcial",L12="nao_atende")),1,0)</f>
        <v>1</v>
      </c>
      <c r="R12" s="25" t="n">
        <f aca="false">IF(Q12=1,IF(G12=L12,1,0),"")</f>
        <v>1</v>
      </c>
    </row>
    <row r="13" customFormat="false" ht="22.35" hidden="true" customHeight="false" outlineLevel="0" collapsed="false">
      <c r="A13" s="18" t="s">
        <v>32</v>
      </c>
      <c r="B13" s="18" t="n">
        <v>34</v>
      </c>
      <c r="C13" s="18" t="s">
        <v>120</v>
      </c>
      <c r="D13" s="18" t="s">
        <v>99</v>
      </c>
      <c r="E13" s="19" t="s">
        <v>162</v>
      </c>
      <c r="F13" s="18" t="s">
        <v>133</v>
      </c>
      <c r="G13" s="18" t="s">
        <v>75</v>
      </c>
      <c r="H13" s="20" t="n">
        <v>0.7</v>
      </c>
      <c r="I13" s="19" t="s">
        <v>163</v>
      </c>
      <c r="J13" s="21" t="s">
        <v>158</v>
      </c>
      <c r="K13" s="19"/>
      <c r="L13" s="23" t="s">
        <v>75</v>
      </c>
      <c r="M13" s="23" t="s">
        <v>147</v>
      </c>
      <c r="N13" s="23"/>
      <c r="O13" s="23"/>
      <c r="P13" s="24" t="str">
        <f aca="false">IF(L13="","",IF(G13="inconclusivo","Inconclusivo",IF(L13="nao_aplicavel","Aplicabilidade",IF(L13="nao_verificavel","Não verificável",IF(G13=L13,"Concordância",IF(G13="nao_atende","Falso não atende",IF(G13="atende","Falso atende","Divergência de grau")))))))</f>
        <v>Concordância</v>
      </c>
      <c r="Q13" s="25" t="n">
        <f aca="false">IF(AND(OR(G13="atende",G13="parcial",G13="nao_atende"),OR(L13="atende",L13="parcial",L13="nao_atende")),1,0)</f>
        <v>1</v>
      </c>
      <c r="R13" s="25" t="n">
        <f aca="false">IF(Q13=1,IF(G13=L13,1,0),"")</f>
        <v>1</v>
      </c>
    </row>
    <row r="14" customFormat="false" ht="22.35" hidden="true" customHeight="false" outlineLevel="0" collapsed="false">
      <c r="A14" s="18" t="s">
        <v>32</v>
      </c>
      <c r="B14" s="18" t="n">
        <v>34</v>
      </c>
      <c r="C14" s="18" t="s">
        <v>120</v>
      </c>
      <c r="D14" s="18" t="s">
        <v>100</v>
      </c>
      <c r="E14" s="19" t="s">
        <v>164</v>
      </c>
      <c r="F14" s="18" t="s">
        <v>133</v>
      </c>
      <c r="G14" s="18" t="s">
        <v>80</v>
      </c>
      <c r="H14" s="20" t="n">
        <v>0.35</v>
      </c>
      <c r="I14" s="19" t="s">
        <v>165</v>
      </c>
      <c r="J14" s="21" t="s">
        <v>166</v>
      </c>
      <c r="K14" s="19"/>
      <c r="L14" s="23" t="s">
        <v>75</v>
      </c>
      <c r="M14" s="23" t="s">
        <v>147</v>
      </c>
      <c r="N14" s="23" t="s">
        <v>167</v>
      </c>
      <c r="O14" s="23" t="s">
        <v>168</v>
      </c>
      <c r="P14" s="24" t="str">
        <f aca="false">IF(L14="","",IF(G14="inconclusivo","Inconclusivo",IF(L14="nao_aplicavel","Aplicabilidade",IF(L14="nao_verificavel","Não verificável",IF(G14=L14,"Concordância",IF(G14="nao_atende","Falso não atende",IF(G14="atende","Falso atende","Divergência de grau")))))))</f>
        <v>Inconclusivo</v>
      </c>
      <c r="Q14" s="25" t="n">
        <f aca="false">IF(AND(OR(G14="atende",G14="parcial",G14="nao_atende"),OR(L14="atende",L14="parcial",L14="nao_atende")),1,0)</f>
        <v>0</v>
      </c>
      <c r="R14" s="25" t="str">
        <f aca="false">IF(Q14=1,IF(G14=L14,1,0),"")</f>
        <v/>
      </c>
    </row>
    <row r="15" customFormat="false" ht="22.35" hidden="true" customHeight="false" outlineLevel="0" collapsed="false">
      <c r="A15" s="18" t="s">
        <v>32</v>
      </c>
      <c r="B15" s="18" t="n">
        <v>34</v>
      </c>
      <c r="C15" s="18" t="s">
        <v>120</v>
      </c>
      <c r="D15" s="18" t="s">
        <v>101</v>
      </c>
      <c r="E15" s="19" t="s">
        <v>169</v>
      </c>
      <c r="F15" s="18" t="s">
        <v>133</v>
      </c>
      <c r="G15" s="18" t="s">
        <v>80</v>
      </c>
      <c r="H15" s="20" t="n">
        <v>0.4</v>
      </c>
      <c r="I15" s="19" t="s">
        <v>170</v>
      </c>
      <c r="J15" s="21" t="s">
        <v>166</v>
      </c>
      <c r="K15" s="19"/>
      <c r="L15" s="23" t="s">
        <v>40</v>
      </c>
      <c r="M15" s="23" t="s">
        <v>147</v>
      </c>
      <c r="N15" s="23" t="s">
        <v>171</v>
      </c>
      <c r="O15" s="23" t="s">
        <v>172</v>
      </c>
      <c r="P15" s="24" t="str">
        <f aca="false">IF(L15="","",IF(G15="inconclusivo","Inconclusivo",IF(L15="nao_aplicavel","Aplicabilidade",IF(L15="nao_verificavel","Não verificável",IF(G15=L15,"Concordância",IF(G15="nao_atende","Falso não atende",IF(G15="atende","Falso atende","Divergência de grau")))))))</f>
        <v>Inconclusivo</v>
      </c>
      <c r="Q15" s="25" t="n">
        <f aca="false">IF(AND(OR(G15="atende",G15="parcial",G15="nao_atende"),OR(L15="atende",L15="parcial",L15="nao_atende")),1,0)</f>
        <v>0</v>
      </c>
      <c r="R15" s="25" t="str">
        <f aca="false">IF(Q15=1,IF(G15=L15,1,0),"")</f>
        <v/>
      </c>
    </row>
    <row r="16" customFormat="false" ht="43.25" hidden="true" customHeight="false" outlineLevel="0" collapsed="false">
      <c r="A16" s="18" t="s">
        <v>32</v>
      </c>
      <c r="B16" s="18" t="n">
        <v>34</v>
      </c>
      <c r="C16" s="18" t="s">
        <v>120</v>
      </c>
      <c r="D16" s="18" t="s">
        <v>102</v>
      </c>
      <c r="E16" s="19" t="s">
        <v>173</v>
      </c>
      <c r="F16" s="18" t="s">
        <v>36</v>
      </c>
      <c r="G16" s="18" t="s">
        <v>37</v>
      </c>
      <c r="H16" s="20" t="n">
        <v>0.6</v>
      </c>
      <c r="I16" s="19" t="s">
        <v>174</v>
      </c>
      <c r="J16" s="21" t="s">
        <v>123</v>
      </c>
      <c r="K16" s="19"/>
      <c r="L16" s="23" t="s">
        <v>75</v>
      </c>
      <c r="M16" s="23" t="s">
        <v>175</v>
      </c>
      <c r="N16" s="23" t="s">
        <v>171</v>
      </c>
      <c r="O16" s="23" t="s">
        <v>176</v>
      </c>
      <c r="P16" s="24" t="str">
        <f aca="false">IF(L16="","",IF(G16="inconclusivo","Inconclusivo",IF(L16="nao_aplicavel","Aplicabilidade",IF(L16="nao_verificavel","Não verificável",IF(G16=L16,"Concordância",IF(G16="nao_atende","Falso não atende",IF(G16="atende","Falso atende","Divergência de grau")))))))</f>
        <v>Falso não atende</v>
      </c>
      <c r="Q16" s="25" t="n">
        <f aca="false">IF(AND(OR(G16="atende",G16="parcial",G16="nao_atende"),OR(L16="atende",L16="parcial",L16="nao_atende")),1,0)</f>
        <v>1</v>
      </c>
      <c r="R16" s="25" t="n">
        <f aca="false">IF(Q16=1,IF(G16=L16,1,0),"")</f>
        <v>0</v>
      </c>
    </row>
    <row r="17" customFormat="false" ht="43.25" hidden="true" customHeight="false" outlineLevel="0" collapsed="false">
      <c r="A17" s="18" t="s">
        <v>32</v>
      </c>
      <c r="B17" s="18" t="n">
        <v>34</v>
      </c>
      <c r="C17" s="18" t="s">
        <v>120</v>
      </c>
      <c r="D17" s="18" t="s">
        <v>103</v>
      </c>
      <c r="E17" s="19" t="s">
        <v>177</v>
      </c>
      <c r="F17" s="18" t="s">
        <v>36</v>
      </c>
      <c r="G17" s="18" t="s">
        <v>80</v>
      </c>
      <c r="H17" s="20" t="n">
        <v>0.4</v>
      </c>
      <c r="I17" s="19" t="s">
        <v>178</v>
      </c>
      <c r="J17" s="21" t="s">
        <v>123</v>
      </c>
      <c r="K17" s="19"/>
      <c r="L17" s="23" t="s">
        <v>40</v>
      </c>
      <c r="M17" s="23" t="s">
        <v>179</v>
      </c>
      <c r="N17" s="23" t="s">
        <v>171</v>
      </c>
      <c r="O17" s="23" t="s">
        <v>180</v>
      </c>
      <c r="P17" s="24" t="str">
        <f aca="false">IF(L17="","",IF(G17="inconclusivo","Inconclusivo",IF(L17="nao_aplicavel","Aplicabilidade",IF(L17="nao_verificavel","Não verificável",IF(G17=L17,"Concordância",IF(G17="nao_atende","Falso não atende",IF(G17="atende","Falso atende","Divergência de grau")))))))</f>
        <v>Inconclusivo</v>
      </c>
      <c r="Q17" s="25" t="n">
        <f aca="false">IF(AND(OR(G17="atende",G17="parcial",G17="nao_atende"),OR(L17="atende",L17="parcial",L17="nao_atende")),1,0)</f>
        <v>0</v>
      </c>
      <c r="R17" s="25" t="str">
        <f aca="false">IF(Q17=1,IF(G17=L17,1,0),"")</f>
        <v/>
      </c>
    </row>
    <row r="18" customFormat="false" ht="74.6" hidden="true" customHeight="false" outlineLevel="0" collapsed="false">
      <c r="A18" s="18" t="s">
        <v>32</v>
      </c>
      <c r="B18" s="18" t="n">
        <v>34</v>
      </c>
      <c r="C18" s="18" t="s">
        <v>120</v>
      </c>
      <c r="D18" s="18" t="s">
        <v>104</v>
      </c>
      <c r="E18" s="19" t="s">
        <v>181</v>
      </c>
      <c r="F18" s="18" t="s">
        <v>133</v>
      </c>
      <c r="G18" s="18" t="s">
        <v>80</v>
      </c>
      <c r="H18" s="20" t="n">
        <v>0.35</v>
      </c>
      <c r="I18" s="19" t="s">
        <v>182</v>
      </c>
      <c r="J18" s="21" t="s">
        <v>183</v>
      </c>
      <c r="K18" s="19"/>
      <c r="L18" s="23" t="s">
        <v>78</v>
      </c>
      <c r="M18" s="23" t="s">
        <v>184</v>
      </c>
      <c r="N18" s="23"/>
      <c r="O18" s="23"/>
      <c r="P18" s="24" t="str">
        <f aca="false">IF(L18="","",IF(G18="inconclusivo","Inconclusivo",IF(L18="nao_aplicavel","Aplicabilidade",IF(L18="nao_verificavel","Não verificável",IF(G18=L18,"Concordância",IF(G18="nao_atende","Falso não atende",IF(G18="atende","Falso atende","Divergência de grau")))))))</f>
        <v>Inconclusivo</v>
      </c>
      <c r="Q18" s="25" t="n">
        <f aca="false">IF(AND(OR(G18="atende",G18="parcial",G18="nao_atende"),OR(L18="atende",L18="parcial",L18="nao_atende")),1,0)</f>
        <v>0</v>
      </c>
      <c r="R18" s="25" t="str">
        <f aca="false">IF(Q18=1,IF(G18=L18,1,0),"")</f>
        <v/>
      </c>
    </row>
    <row r="19" customFormat="false" ht="53.7" hidden="true" customHeight="false" outlineLevel="0" collapsed="false">
      <c r="A19" s="18" t="s">
        <v>32</v>
      </c>
      <c r="B19" s="18" t="n">
        <v>34</v>
      </c>
      <c r="C19" s="18" t="s">
        <v>120</v>
      </c>
      <c r="D19" s="18" t="s">
        <v>105</v>
      </c>
      <c r="E19" s="19" t="s">
        <v>185</v>
      </c>
      <c r="F19" s="18" t="s">
        <v>133</v>
      </c>
      <c r="G19" s="18" t="s">
        <v>80</v>
      </c>
      <c r="H19" s="20" t="n">
        <v>0.4</v>
      </c>
      <c r="I19" s="19" t="s">
        <v>186</v>
      </c>
      <c r="J19" s="21" t="s">
        <v>183</v>
      </c>
      <c r="K19" s="19"/>
      <c r="L19" s="23" t="s">
        <v>75</v>
      </c>
      <c r="M19" s="23" t="s">
        <v>187</v>
      </c>
      <c r="N19" s="23" t="s">
        <v>171</v>
      </c>
      <c r="O19" s="23" t="s">
        <v>188</v>
      </c>
      <c r="P19" s="24" t="str">
        <f aca="false">IF(L19="","",IF(G19="inconclusivo","Inconclusivo",IF(L19="nao_aplicavel","Aplicabilidade",IF(L19="nao_verificavel","Não verificável",IF(G19=L19,"Concordância",IF(G19="nao_atende","Falso não atende",IF(G19="atende","Falso atende","Divergência de grau")))))))</f>
        <v>Inconclusivo</v>
      </c>
      <c r="Q19" s="25" t="n">
        <f aca="false">IF(AND(OR(G19="atende",G19="parcial",G19="nao_atende"),OR(L19="atende",L19="parcial",L19="nao_atende")),1,0)</f>
        <v>0</v>
      </c>
      <c r="R19" s="25" t="str">
        <f aca="false">IF(Q19=1,IF(G19=L19,1,0),"")</f>
        <v/>
      </c>
    </row>
    <row r="20" customFormat="false" ht="43.25" hidden="true" customHeight="false" outlineLevel="0" collapsed="false">
      <c r="A20" s="18" t="s">
        <v>32</v>
      </c>
      <c r="B20" s="18" t="n">
        <v>34</v>
      </c>
      <c r="C20" s="18" t="s">
        <v>120</v>
      </c>
      <c r="D20" s="18" t="s">
        <v>106</v>
      </c>
      <c r="E20" s="19" t="s">
        <v>189</v>
      </c>
      <c r="F20" s="18" t="s">
        <v>133</v>
      </c>
      <c r="G20" s="18" t="s">
        <v>37</v>
      </c>
      <c r="H20" s="20" t="n">
        <v>0.65</v>
      </c>
      <c r="I20" s="19" t="s">
        <v>190</v>
      </c>
      <c r="J20" s="21" t="s">
        <v>191</v>
      </c>
      <c r="K20" s="19"/>
      <c r="L20" s="23" t="s">
        <v>40</v>
      </c>
      <c r="M20" s="23" t="s">
        <v>192</v>
      </c>
      <c r="N20" s="23" t="s">
        <v>193</v>
      </c>
      <c r="O20" s="23" t="s">
        <v>194</v>
      </c>
      <c r="P20" s="24" t="str">
        <f aca="false">IF(L20="","",IF(G20="inconclusivo","Inconclusivo",IF(L20="nao_aplicavel","Aplicabilidade",IF(L20="nao_verificavel","Não verificável",IF(G20=L20,"Concordância",IF(G20="nao_atende","Falso não atende",IF(G20="atende","Falso atende","Divergência de grau")))))))</f>
        <v>Falso não atende</v>
      </c>
      <c r="Q20" s="25" t="n">
        <f aca="false">IF(AND(OR(G20="atende",G20="parcial",G20="nao_atende"),OR(L20="atende",L20="parcial",L20="nao_atende")),1,0)</f>
        <v>1</v>
      </c>
      <c r="R20" s="25" t="n">
        <f aca="false">IF(Q20=1,IF(G20=L20,1,0),"")</f>
        <v>0</v>
      </c>
    </row>
    <row r="21" customFormat="false" ht="15.75" hidden="true" customHeight="true" outlineLevel="0" collapsed="false">
      <c r="A21" s="18" t="s">
        <v>32</v>
      </c>
      <c r="B21" s="18" t="n">
        <v>34</v>
      </c>
      <c r="C21" s="18" t="s">
        <v>120</v>
      </c>
      <c r="D21" s="18" t="s">
        <v>107</v>
      </c>
      <c r="E21" s="19" t="s">
        <v>195</v>
      </c>
      <c r="F21" s="18" t="s">
        <v>133</v>
      </c>
      <c r="G21" s="18" t="s">
        <v>75</v>
      </c>
      <c r="H21" s="20" t="n">
        <v>0.7</v>
      </c>
      <c r="I21" s="19" t="s">
        <v>196</v>
      </c>
      <c r="J21" s="21" t="s">
        <v>39</v>
      </c>
      <c r="K21" s="19" t="s">
        <v>197</v>
      </c>
      <c r="L21" s="23" t="s">
        <v>75</v>
      </c>
      <c r="M21" s="23" t="s">
        <v>147</v>
      </c>
      <c r="N21" s="23"/>
      <c r="O21" s="23"/>
      <c r="P21" s="24" t="str">
        <f aca="false">IF(L21="","",IF(G21="inconclusivo","Inconclusivo",IF(L21="nao_aplicavel","Aplicabilidade",IF(L21="nao_verificavel","Não verificável",IF(G21=L21,"Concordância",IF(G21="nao_atende","Falso não atende",IF(G21="atende","Falso atende","Divergência de grau")))))))</f>
        <v>Concordância</v>
      </c>
      <c r="Q21" s="25" t="n">
        <f aca="false">IF(AND(OR(G21="atende",G21="parcial",G21="nao_atende"),OR(L21="atende",L21="parcial",L21="nao_atende")),1,0)</f>
        <v>1</v>
      </c>
      <c r="R21" s="25" t="n">
        <f aca="false">IF(Q21=1,IF(G21=L21,1,0),"")</f>
        <v>1</v>
      </c>
    </row>
    <row r="22" customFormat="false" ht="15.75" hidden="true" customHeight="true" outlineLevel="0" collapsed="false">
      <c r="A22" s="18" t="s">
        <v>32</v>
      </c>
      <c r="B22" s="18" t="n">
        <v>34</v>
      </c>
      <c r="C22" s="18" t="s">
        <v>120</v>
      </c>
      <c r="D22" s="18" t="s">
        <v>108</v>
      </c>
      <c r="E22" s="19" t="s">
        <v>198</v>
      </c>
      <c r="F22" s="18" t="s">
        <v>133</v>
      </c>
      <c r="G22" s="18" t="s">
        <v>75</v>
      </c>
      <c r="H22" s="20" t="n">
        <v>0.7</v>
      </c>
      <c r="I22" s="19" t="s">
        <v>199</v>
      </c>
      <c r="J22" s="21" t="s">
        <v>39</v>
      </c>
      <c r="K22" s="19" t="s">
        <v>200</v>
      </c>
      <c r="L22" s="23" t="s">
        <v>75</v>
      </c>
      <c r="M22" s="23" t="s">
        <v>147</v>
      </c>
      <c r="N22" s="23"/>
      <c r="O22" s="23"/>
      <c r="P22" s="24" t="str">
        <f aca="false">IF(L22="","",IF(G22="inconclusivo","Inconclusivo",IF(L22="nao_aplicavel","Aplicabilidade",IF(L22="nao_verificavel","Não verificável",IF(G22=L22,"Concordância",IF(G22="nao_atende","Falso não atende",IF(G22="atende","Falso atende","Divergência de grau")))))))</f>
        <v>Concordância</v>
      </c>
      <c r="Q22" s="25" t="n">
        <f aca="false">IF(AND(OR(G22="atende",G22="parcial",G22="nao_atende"),OR(L22="atende",L22="parcial",L22="nao_atende")),1,0)</f>
        <v>1</v>
      </c>
      <c r="R22" s="25" t="n">
        <f aca="false">IF(Q22=1,IF(G22=L22,1,0),"")</f>
        <v>1</v>
      </c>
    </row>
    <row r="23" customFormat="false" ht="15.75" hidden="true" customHeight="true" outlineLevel="0" collapsed="false">
      <c r="A23" s="18" t="s">
        <v>32</v>
      </c>
      <c r="B23" s="18" t="n">
        <v>34</v>
      </c>
      <c r="C23" s="18" t="s">
        <v>120</v>
      </c>
      <c r="D23" s="18" t="s">
        <v>109</v>
      </c>
      <c r="E23" s="19" t="s">
        <v>201</v>
      </c>
      <c r="F23" s="18" t="s">
        <v>202</v>
      </c>
      <c r="G23" s="18" t="s">
        <v>80</v>
      </c>
      <c r="H23" s="20" t="n">
        <v>0.4</v>
      </c>
      <c r="I23" s="19" t="s">
        <v>203</v>
      </c>
      <c r="J23" s="21" t="s">
        <v>123</v>
      </c>
      <c r="K23" s="19"/>
      <c r="L23" s="23" t="s">
        <v>78</v>
      </c>
      <c r="M23" s="23" t="s">
        <v>147</v>
      </c>
      <c r="N23" s="23"/>
      <c r="O23" s="23"/>
      <c r="P23" s="24" t="str">
        <f aca="false">IF(L23="","",IF(G23="inconclusivo","Inconclusivo",IF(L23="nao_aplicavel","Aplicabilidade",IF(L23="nao_verificavel","Não verificável",IF(G23=L23,"Concordância",IF(G23="nao_atende","Falso não atende",IF(G23="atende","Falso atende","Divergência de grau")))))))</f>
        <v>Inconclusivo</v>
      </c>
      <c r="Q23" s="25" t="n">
        <f aca="false">IF(AND(OR(G23="atende",G23="parcial",G23="nao_atende"),OR(L23="atende",L23="parcial",L23="nao_atende")),1,0)</f>
        <v>0</v>
      </c>
      <c r="R23" s="25" t="str">
        <f aca="false">IF(Q23=1,IF(G23=L23,1,0),"")</f>
        <v/>
      </c>
    </row>
    <row r="24" customFormat="false" ht="15.75" hidden="true" customHeight="true" outlineLevel="0" collapsed="false">
      <c r="A24" s="18" t="s">
        <v>32</v>
      </c>
      <c r="B24" s="18" t="n">
        <v>34</v>
      </c>
      <c r="C24" s="18" t="s">
        <v>120</v>
      </c>
      <c r="D24" s="18" t="s">
        <v>110</v>
      </c>
      <c r="E24" s="19" t="s">
        <v>204</v>
      </c>
      <c r="F24" s="18" t="s">
        <v>202</v>
      </c>
      <c r="G24" s="18" t="s">
        <v>75</v>
      </c>
      <c r="H24" s="20" t="n">
        <v>0.7</v>
      </c>
      <c r="I24" s="19" t="s">
        <v>205</v>
      </c>
      <c r="J24" s="21" t="s">
        <v>158</v>
      </c>
      <c r="K24" s="19"/>
      <c r="L24" s="23" t="s">
        <v>75</v>
      </c>
      <c r="M24" s="23" t="s">
        <v>147</v>
      </c>
      <c r="N24" s="23"/>
      <c r="O24" s="23"/>
      <c r="P24" s="24" t="str">
        <f aca="false">IF(L24="","",IF(G24="inconclusivo","Inconclusivo",IF(L24="nao_aplicavel","Aplicabilidade",IF(L24="nao_verificavel","Não verificável",IF(G24=L24,"Concordância",IF(G24="nao_atende","Falso não atende",IF(G24="atende","Falso atende","Divergência de grau")))))))</f>
        <v>Concordância</v>
      </c>
      <c r="Q24" s="25" t="n">
        <f aca="false">IF(AND(OR(G24="atende",G24="parcial",G24="nao_atende"),OR(L24="atende",L24="parcial",L24="nao_atende")),1,0)</f>
        <v>1</v>
      </c>
      <c r="R24" s="25" t="n">
        <f aca="false">IF(Q24=1,IF(G24=L24,1,0),"")</f>
        <v>1</v>
      </c>
    </row>
    <row r="25" customFormat="false" ht="15.75" hidden="true" customHeight="true" outlineLevel="0" collapsed="false">
      <c r="A25" s="18" t="s">
        <v>32</v>
      </c>
      <c r="B25" s="18" t="n">
        <v>34</v>
      </c>
      <c r="C25" s="18" t="s">
        <v>120</v>
      </c>
      <c r="D25" s="18" t="s">
        <v>111</v>
      </c>
      <c r="E25" s="19" t="s">
        <v>206</v>
      </c>
      <c r="F25" s="18" t="s">
        <v>36</v>
      </c>
      <c r="G25" s="18" t="s">
        <v>37</v>
      </c>
      <c r="H25" s="20" t="n">
        <v>0.6</v>
      </c>
      <c r="I25" s="19" t="s">
        <v>207</v>
      </c>
      <c r="J25" s="21" t="s">
        <v>123</v>
      </c>
      <c r="K25" s="19"/>
      <c r="L25" s="23" t="s">
        <v>75</v>
      </c>
      <c r="M25" s="23" t="s">
        <v>175</v>
      </c>
      <c r="N25" s="23" t="s">
        <v>171</v>
      </c>
      <c r="O25" s="23" t="s">
        <v>208</v>
      </c>
      <c r="P25" s="24" t="str">
        <f aca="false">IF(L25="","",IF(G25="inconclusivo","Inconclusivo",IF(L25="nao_aplicavel","Aplicabilidade",IF(L25="nao_verificavel","Não verificável",IF(G25=L25,"Concordância",IF(G25="nao_atende","Falso não atende",IF(G25="atende","Falso atende","Divergência de grau")))))))</f>
        <v>Falso não atende</v>
      </c>
      <c r="Q25" s="25" t="n">
        <f aca="false">IF(AND(OR(G25="atende",G25="parcial",G25="nao_atende"),OR(L25="atende",L25="parcial",L25="nao_atende")),1,0)</f>
        <v>1</v>
      </c>
      <c r="R25" s="25" t="n">
        <f aca="false">IF(Q25=1,IF(G25=L25,1,0),"")</f>
        <v>0</v>
      </c>
    </row>
    <row r="26" customFormat="false" ht="15.75" hidden="true" customHeight="true" outlineLevel="0" collapsed="false">
      <c r="A26" s="18" t="s">
        <v>32</v>
      </c>
      <c r="B26" s="18" t="n">
        <v>34</v>
      </c>
      <c r="C26" s="18" t="s">
        <v>120</v>
      </c>
      <c r="D26" s="18" t="s">
        <v>112</v>
      </c>
      <c r="E26" s="19" t="s">
        <v>209</v>
      </c>
      <c r="F26" s="18" t="s">
        <v>36</v>
      </c>
      <c r="G26" s="18" t="s">
        <v>37</v>
      </c>
      <c r="H26" s="20" t="n">
        <v>0.6</v>
      </c>
      <c r="I26" s="19" t="s">
        <v>210</v>
      </c>
      <c r="J26" s="21" t="s">
        <v>123</v>
      </c>
      <c r="K26" s="19"/>
      <c r="L26" s="23" t="s">
        <v>75</v>
      </c>
      <c r="M26" s="23" t="s">
        <v>175</v>
      </c>
      <c r="N26" s="23" t="s">
        <v>171</v>
      </c>
      <c r="O26" s="23" t="s">
        <v>211</v>
      </c>
      <c r="P26" s="24" t="str">
        <f aca="false">IF(L26="","",IF(G26="inconclusivo","Inconclusivo",IF(L26="nao_aplicavel","Aplicabilidade",IF(L26="nao_verificavel","Não verificável",IF(G26=L26,"Concordância",IF(G26="nao_atende","Falso não atende",IF(G26="atende","Falso atende","Divergência de grau")))))))</f>
        <v>Falso não atende</v>
      </c>
      <c r="Q26" s="25" t="n">
        <f aca="false">IF(AND(OR(G26="atende",G26="parcial",G26="nao_atende"),OR(L26="atende",L26="parcial",L26="nao_atende")),1,0)</f>
        <v>1</v>
      </c>
      <c r="R26" s="25" t="n">
        <f aca="false">IF(Q26=1,IF(G26=L26,1,0),"")</f>
        <v>0</v>
      </c>
    </row>
    <row r="27" customFormat="false" ht="15.75" hidden="true" customHeight="true" outlineLevel="0" collapsed="false">
      <c r="A27" s="18" t="s">
        <v>32</v>
      </c>
      <c r="B27" s="18" t="n">
        <v>34</v>
      </c>
      <c r="C27" s="18" t="s">
        <v>120</v>
      </c>
      <c r="D27" s="18" t="s">
        <v>113</v>
      </c>
      <c r="E27" s="19" t="s">
        <v>212</v>
      </c>
      <c r="F27" s="18" t="s">
        <v>36</v>
      </c>
      <c r="G27" s="18" t="s">
        <v>37</v>
      </c>
      <c r="H27" s="20" t="n">
        <v>0.6</v>
      </c>
      <c r="I27" s="19" t="s">
        <v>213</v>
      </c>
      <c r="J27" s="21" t="s">
        <v>123</v>
      </c>
      <c r="K27" s="19"/>
      <c r="L27" s="23" t="s">
        <v>75</v>
      </c>
      <c r="M27" s="23" t="s">
        <v>175</v>
      </c>
      <c r="N27" s="23" t="s">
        <v>171</v>
      </c>
      <c r="O27" s="23" t="s">
        <v>214</v>
      </c>
      <c r="P27" s="24" t="str">
        <f aca="false">IF(L27="","",IF(G27="inconclusivo","Inconclusivo",IF(L27="nao_aplicavel","Aplicabilidade",IF(L27="nao_verificavel","Não verificável",IF(G27=L27,"Concordância",IF(G27="nao_atende","Falso não atende",IF(G27="atende","Falso atende","Divergência de grau")))))))</f>
        <v>Falso não atende</v>
      </c>
      <c r="Q27" s="25" t="n">
        <f aca="false">IF(AND(OR(G27="atende",G27="parcial",G27="nao_atende"),OR(L27="atende",L27="parcial",L27="nao_atende")),1,0)</f>
        <v>1</v>
      </c>
      <c r="R27" s="25" t="n">
        <f aca="false">IF(Q27=1,IF(G27=L27,1,0),"")</f>
        <v>0</v>
      </c>
    </row>
    <row r="28" customFormat="false" ht="15.75" hidden="true" customHeight="true" outlineLevel="0" collapsed="false">
      <c r="A28" s="18" t="s">
        <v>32</v>
      </c>
      <c r="B28" s="18" t="n">
        <v>34</v>
      </c>
      <c r="C28" s="18" t="s">
        <v>120</v>
      </c>
      <c r="D28" s="18" t="s">
        <v>114</v>
      </c>
      <c r="E28" s="19" t="s">
        <v>215</v>
      </c>
      <c r="F28" s="18" t="s">
        <v>36</v>
      </c>
      <c r="G28" s="18" t="s">
        <v>37</v>
      </c>
      <c r="H28" s="20" t="n">
        <v>0.6</v>
      </c>
      <c r="I28" s="19" t="s">
        <v>216</v>
      </c>
      <c r="J28" s="21" t="s">
        <v>123</v>
      </c>
      <c r="K28" s="19"/>
      <c r="L28" s="23" t="s">
        <v>75</v>
      </c>
      <c r="M28" s="23" t="s">
        <v>175</v>
      </c>
      <c r="N28" s="23" t="s">
        <v>171</v>
      </c>
      <c r="O28" s="23" t="s">
        <v>217</v>
      </c>
      <c r="P28" s="24" t="str">
        <f aca="false">IF(L28="","",IF(G28="inconclusivo","Inconclusivo",IF(L28="nao_aplicavel","Aplicabilidade",IF(L28="nao_verificavel","Não verificável",IF(G28=L28,"Concordância",IF(G28="nao_atende","Falso não atende",IF(G28="atende","Falso atende","Divergência de grau")))))))</f>
        <v>Falso não atende</v>
      </c>
      <c r="Q28" s="25" t="n">
        <f aca="false">IF(AND(OR(G28="atende",G28="parcial",G28="nao_atende"),OR(L28="atende",L28="parcial",L28="nao_atende")),1,0)</f>
        <v>1</v>
      </c>
      <c r="R28" s="25" t="n">
        <f aca="false">IF(Q28=1,IF(G28=L28,1,0),"")</f>
        <v>0</v>
      </c>
    </row>
    <row r="29" customFormat="false" ht="15.75" hidden="false" customHeight="true" outlineLevel="0" collapsed="false">
      <c r="A29" s="18" t="s">
        <v>116</v>
      </c>
      <c r="B29" s="18" t="n">
        <v>30</v>
      </c>
      <c r="C29" s="18" t="s">
        <v>218</v>
      </c>
      <c r="D29" s="18" t="s">
        <v>89</v>
      </c>
      <c r="E29" s="19" t="s">
        <v>121</v>
      </c>
      <c r="F29" s="18" t="s">
        <v>36</v>
      </c>
      <c r="G29" s="18" t="s">
        <v>40</v>
      </c>
      <c r="H29" s="20" t="n">
        <v>0.95</v>
      </c>
      <c r="I29" s="19" t="s">
        <v>122</v>
      </c>
      <c r="J29" s="21" t="s">
        <v>219</v>
      </c>
      <c r="K29" s="19" t="s">
        <v>124</v>
      </c>
      <c r="L29" s="22" t="s">
        <v>40</v>
      </c>
      <c r="M29" s="26" t="s">
        <v>219</v>
      </c>
      <c r="N29" s="23"/>
      <c r="O29" s="23"/>
      <c r="P29" s="24" t="str">
        <f aca="false">IF(L29="","",IF(G29="inconclusivo","Inconclusivo",IF(L29="nao_aplicavel","Aplicabilidade",IF(L29="nao_verificavel","Não verificável",IF(G29=L29,"Concordância",IF(G29="nao_atende","Falso não atende",IF(G29="atende","Falso atende","Divergência de grau")))))))</f>
        <v>Concordância</v>
      </c>
      <c r="Q29" s="25" t="n">
        <f aca="false">IF(AND(OR(G29="atende",G29="parcial",G29="nao_atende"),OR(L29="atende",L29="parcial",L29="nao_atende")),1,0)</f>
        <v>1</v>
      </c>
      <c r="R29" s="25" t="n">
        <f aca="false">IF(Q29=1,IF(G29=L29,1,0),"")</f>
        <v>1</v>
      </c>
    </row>
    <row r="30" customFormat="false" ht="15.75" hidden="false" customHeight="true" outlineLevel="0" collapsed="false">
      <c r="A30" s="18" t="s">
        <v>116</v>
      </c>
      <c r="B30" s="18" t="n">
        <v>30</v>
      </c>
      <c r="C30" s="18" t="s">
        <v>218</v>
      </c>
      <c r="D30" s="18" t="s">
        <v>90</v>
      </c>
      <c r="E30" s="19" t="s">
        <v>125</v>
      </c>
      <c r="F30" s="18" t="s">
        <v>36</v>
      </c>
      <c r="G30" s="18" t="s">
        <v>40</v>
      </c>
      <c r="H30" s="20" t="n">
        <v>0.8</v>
      </c>
      <c r="I30" s="19" t="s">
        <v>220</v>
      </c>
      <c r="J30" s="21" t="s">
        <v>221</v>
      </c>
      <c r="K30" s="19" t="s">
        <v>222</v>
      </c>
      <c r="L30" s="22" t="s">
        <v>40</v>
      </c>
      <c r="M30" s="26" t="s">
        <v>223</v>
      </c>
      <c r="N30" s="23"/>
      <c r="O30" s="23"/>
      <c r="P30" s="24" t="str">
        <f aca="false">IF(L30="","",IF(G30="inconclusivo","Inconclusivo",IF(L30="nao_aplicavel","Aplicabilidade",IF(L30="nao_verificavel","Não verificável",IF(G30=L30,"Concordância",IF(G30="nao_atende","Falso não atende",IF(G30="atende","Falso atende","Divergência de grau")))))))</f>
        <v>Concordância</v>
      </c>
      <c r="Q30" s="25" t="n">
        <f aca="false">IF(AND(OR(G30="atende",G30="parcial",G30="nao_atende"),OR(L30="atende",L30="parcial",L30="nao_atende")),1,0)</f>
        <v>1</v>
      </c>
      <c r="R30" s="25" t="n">
        <f aca="false">IF(Q30=1,IF(G30=L30,1,0),"")</f>
        <v>1</v>
      </c>
    </row>
    <row r="31" customFormat="false" ht="15.75" hidden="false" customHeight="true" outlineLevel="0" collapsed="false">
      <c r="A31" s="18" t="s">
        <v>116</v>
      </c>
      <c r="B31" s="18" t="n">
        <v>30</v>
      </c>
      <c r="C31" s="18" t="s">
        <v>218</v>
      </c>
      <c r="D31" s="18" t="s">
        <v>91</v>
      </c>
      <c r="E31" s="19" t="s">
        <v>129</v>
      </c>
      <c r="F31" s="18" t="s">
        <v>36</v>
      </c>
      <c r="G31" s="18" t="s">
        <v>40</v>
      </c>
      <c r="H31" s="20" t="n">
        <v>0.85</v>
      </c>
      <c r="I31" s="19" t="s">
        <v>130</v>
      </c>
      <c r="J31" s="21" t="s">
        <v>219</v>
      </c>
      <c r="K31" s="19" t="s">
        <v>224</v>
      </c>
      <c r="L31" s="22" t="s">
        <v>40</v>
      </c>
      <c r="M31" s="26" t="s">
        <v>219</v>
      </c>
      <c r="N31" s="23"/>
      <c r="O31" s="23"/>
      <c r="P31" s="24" t="str">
        <f aca="false">IF(L31="","",IF(G31="inconclusivo","Inconclusivo",IF(L31="nao_aplicavel","Aplicabilidade",IF(L31="nao_verificavel","Não verificável",IF(G31=L31,"Concordância",IF(G31="nao_atende","Falso não atende",IF(G31="atende","Falso atende","Divergência de grau")))))))</f>
        <v>Concordância</v>
      </c>
      <c r="Q31" s="25" t="n">
        <f aca="false">IF(AND(OR(G31="atende",G31="parcial",G31="nao_atende"),OR(L31="atende",L31="parcial",L31="nao_atende")),1,0)</f>
        <v>1</v>
      </c>
      <c r="R31" s="25" t="n">
        <f aca="false">IF(Q31=1,IF(G31=L31,1,0),"")</f>
        <v>1</v>
      </c>
    </row>
    <row r="32" customFormat="false" ht="15.75" hidden="false" customHeight="true" outlineLevel="0" collapsed="false">
      <c r="A32" s="18" t="s">
        <v>116</v>
      </c>
      <c r="B32" s="18" t="n">
        <v>30</v>
      </c>
      <c r="C32" s="18" t="s">
        <v>218</v>
      </c>
      <c r="D32" s="18" t="s">
        <v>92</v>
      </c>
      <c r="E32" s="19" t="s">
        <v>132</v>
      </c>
      <c r="F32" s="18" t="s">
        <v>133</v>
      </c>
      <c r="G32" s="18" t="s">
        <v>40</v>
      </c>
      <c r="H32" s="20" t="n">
        <v>0.75</v>
      </c>
      <c r="I32" s="19" t="s">
        <v>134</v>
      </c>
      <c r="J32" s="21" t="s">
        <v>225</v>
      </c>
      <c r="K32" s="19" t="s">
        <v>226</v>
      </c>
      <c r="L32" s="22" t="s">
        <v>40</v>
      </c>
      <c r="M32" s="26" t="s">
        <v>225</v>
      </c>
      <c r="N32" s="23"/>
      <c r="O32" s="23"/>
      <c r="P32" s="24" t="str">
        <f aca="false">IF(L32="","",IF(G32="inconclusivo","Inconclusivo",IF(L32="nao_aplicavel","Aplicabilidade",IF(L32="nao_verificavel","Não verificável",IF(G32=L32,"Concordância",IF(G32="nao_atende","Falso não atende",IF(G32="atende","Falso atende","Divergência de grau")))))))</f>
        <v>Concordância</v>
      </c>
      <c r="Q32" s="25" t="n">
        <f aca="false">IF(AND(OR(G32="atende",G32="parcial",G32="nao_atende"),OR(L32="atende",L32="parcial",L32="nao_atende")),1,0)</f>
        <v>1</v>
      </c>
      <c r="R32" s="25" t="n">
        <f aca="false">IF(Q32=1,IF(G32=L32,1,0),"")</f>
        <v>1</v>
      </c>
    </row>
    <row r="33" customFormat="false" ht="15.75" hidden="false" customHeight="true" outlineLevel="0" collapsed="false">
      <c r="A33" s="18" t="s">
        <v>116</v>
      </c>
      <c r="B33" s="18" t="n">
        <v>30</v>
      </c>
      <c r="C33" s="18" t="s">
        <v>218</v>
      </c>
      <c r="D33" s="18" t="s">
        <v>93</v>
      </c>
      <c r="E33" s="19" t="s">
        <v>138</v>
      </c>
      <c r="F33" s="18" t="s">
        <v>133</v>
      </c>
      <c r="G33" s="18" t="s">
        <v>40</v>
      </c>
      <c r="H33" s="20" t="n">
        <v>0.8</v>
      </c>
      <c r="I33" s="19" t="s">
        <v>227</v>
      </c>
      <c r="J33" s="21" t="s">
        <v>219</v>
      </c>
      <c r="K33" s="19" t="s">
        <v>228</v>
      </c>
      <c r="L33" s="22" t="s">
        <v>40</v>
      </c>
      <c r="M33" s="26" t="s">
        <v>219</v>
      </c>
      <c r="N33" s="23"/>
      <c r="O33" s="23"/>
      <c r="P33" s="24" t="str">
        <f aca="false">IF(L33="","",IF(G33="inconclusivo","Inconclusivo",IF(L33="nao_aplicavel","Aplicabilidade",IF(L33="nao_verificavel","Não verificável",IF(G33=L33,"Concordância",IF(G33="nao_atende","Falso não atende",IF(G33="atende","Falso atende","Divergência de grau")))))))</f>
        <v>Concordância</v>
      </c>
      <c r="Q33" s="25" t="n">
        <f aca="false">IF(AND(OR(G33="atende",G33="parcial",G33="nao_atende"),OR(L33="atende",L33="parcial",L33="nao_atende")),1,0)</f>
        <v>1</v>
      </c>
      <c r="R33" s="25" t="n">
        <f aca="false">IF(Q33=1,IF(G33=L33,1,0),"")</f>
        <v>1</v>
      </c>
    </row>
    <row r="34" customFormat="false" ht="15.75" hidden="false" customHeight="true" outlineLevel="0" collapsed="false">
      <c r="A34" s="18" t="s">
        <v>116</v>
      </c>
      <c r="B34" s="18" t="n">
        <v>30</v>
      </c>
      <c r="C34" s="18" t="s">
        <v>218</v>
      </c>
      <c r="D34" s="18" t="s">
        <v>94</v>
      </c>
      <c r="E34" s="19" t="s">
        <v>141</v>
      </c>
      <c r="F34" s="18" t="s">
        <v>133</v>
      </c>
      <c r="G34" s="18" t="s">
        <v>40</v>
      </c>
      <c r="H34" s="20" t="n">
        <v>0.8</v>
      </c>
      <c r="I34" s="19" t="s">
        <v>229</v>
      </c>
      <c r="J34" s="21" t="s">
        <v>225</v>
      </c>
      <c r="K34" s="19" t="s">
        <v>230</v>
      </c>
      <c r="L34" s="22" t="s">
        <v>40</v>
      </c>
      <c r="M34" s="26" t="s">
        <v>225</v>
      </c>
      <c r="N34" s="23"/>
      <c r="O34" s="23"/>
      <c r="P34" s="24" t="str">
        <f aca="false">IF(L34="","",IF(G34="inconclusivo","Inconclusivo",IF(L34="nao_aplicavel","Aplicabilidade",IF(L34="nao_verificavel","Não verificável",IF(G34=L34,"Concordância",IF(G34="nao_atende","Falso não atende",IF(G34="atende","Falso atende","Divergência de grau")))))))</f>
        <v>Concordância</v>
      </c>
      <c r="Q34" s="25" t="n">
        <f aca="false">IF(AND(OR(G34="atende",G34="parcial",G34="nao_atende"),OR(L34="atende",L34="parcial",L34="nao_atende")),1,0)</f>
        <v>1</v>
      </c>
      <c r="R34" s="25" t="n">
        <f aca="false">IF(Q34=1,IF(G34=L34,1,0),"")</f>
        <v>1</v>
      </c>
    </row>
    <row r="35" customFormat="false" ht="15.75" hidden="false" customHeight="true" outlineLevel="0" collapsed="false">
      <c r="A35" s="18" t="s">
        <v>116</v>
      </c>
      <c r="B35" s="18" t="n">
        <v>30</v>
      </c>
      <c r="C35" s="18" t="s">
        <v>218</v>
      </c>
      <c r="D35" s="18" t="s">
        <v>95</v>
      </c>
      <c r="E35" s="19" t="s">
        <v>144</v>
      </c>
      <c r="F35" s="18" t="s">
        <v>133</v>
      </c>
      <c r="G35" s="18" t="s">
        <v>40</v>
      </c>
      <c r="H35" s="20" t="n">
        <v>0.75</v>
      </c>
      <c r="I35" s="19" t="s">
        <v>231</v>
      </c>
      <c r="J35" s="21" t="s">
        <v>232</v>
      </c>
      <c r="K35" s="19" t="s">
        <v>233</v>
      </c>
      <c r="L35" s="22" t="s">
        <v>40</v>
      </c>
      <c r="M35" s="26" t="s">
        <v>234</v>
      </c>
      <c r="N35" s="23"/>
      <c r="O35" s="23"/>
      <c r="P35" s="24" t="str">
        <f aca="false">IF(L35="","",IF(G35="inconclusivo","Inconclusivo",IF(L35="nao_aplicavel","Aplicabilidade",IF(L35="nao_verificavel","Não verificável",IF(G35=L35,"Concordância",IF(G35="nao_atende","Falso não atende",IF(G35="atende","Falso atende","Divergência de grau")))))))</f>
        <v>Concordância</v>
      </c>
      <c r="Q35" s="25" t="n">
        <f aca="false">IF(AND(OR(G35="atende",G35="parcial",G35="nao_atende"),OR(L35="atende",L35="parcial",L35="nao_atende")),1,0)</f>
        <v>1</v>
      </c>
      <c r="R35" s="25" t="n">
        <f aca="false">IF(Q35=1,IF(G35=L35,1,0),"")</f>
        <v>1</v>
      </c>
    </row>
    <row r="36" customFormat="false" ht="15.75" hidden="false" customHeight="true" outlineLevel="0" collapsed="false">
      <c r="A36" s="18" t="s">
        <v>116</v>
      </c>
      <c r="B36" s="18" t="n">
        <v>30</v>
      </c>
      <c r="C36" s="18" t="s">
        <v>218</v>
      </c>
      <c r="D36" s="18" t="s">
        <v>96</v>
      </c>
      <c r="E36" s="19" t="s">
        <v>148</v>
      </c>
      <c r="F36" s="18" t="s">
        <v>133</v>
      </c>
      <c r="G36" s="18" t="s">
        <v>40</v>
      </c>
      <c r="H36" s="20" t="n">
        <v>0.7</v>
      </c>
      <c r="I36" s="19" t="s">
        <v>149</v>
      </c>
      <c r="J36" s="21" t="s">
        <v>232</v>
      </c>
      <c r="K36" s="19" t="s">
        <v>235</v>
      </c>
      <c r="L36" s="22" t="s">
        <v>40</v>
      </c>
      <c r="M36" s="26" t="s">
        <v>234</v>
      </c>
      <c r="N36" s="23"/>
      <c r="O36" s="23"/>
      <c r="P36" s="24" t="str">
        <f aca="false">IF(L36="","",IF(G36="inconclusivo","Inconclusivo",IF(L36="nao_aplicavel","Aplicabilidade",IF(L36="nao_verificavel","Não verificável",IF(G36=L36,"Concordância",IF(G36="nao_atende","Falso não atende",IF(G36="atende","Falso atende","Divergência de grau")))))))</f>
        <v>Concordância</v>
      </c>
      <c r="Q36" s="25" t="n">
        <f aca="false">IF(AND(OR(G36="atende",G36="parcial",G36="nao_atende"),OR(L36="atende",L36="parcial",L36="nao_atende")),1,0)</f>
        <v>1</v>
      </c>
      <c r="R36" s="25" t="n">
        <f aca="false">IF(Q36=1,IF(G36=L36,1,0),"")</f>
        <v>1</v>
      </c>
    </row>
    <row r="37" customFormat="false" ht="15.75" hidden="false" customHeight="true" outlineLevel="0" collapsed="false">
      <c r="A37" s="18" t="s">
        <v>116</v>
      </c>
      <c r="B37" s="18" t="n">
        <v>30</v>
      </c>
      <c r="C37" s="18" t="s">
        <v>218</v>
      </c>
      <c r="D37" s="18" t="s">
        <v>97</v>
      </c>
      <c r="E37" s="19" t="s">
        <v>152</v>
      </c>
      <c r="F37" s="18" t="s">
        <v>36</v>
      </c>
      <c r="G37" s="18" t="s">
        <v>80</v>
      </c>
      <c r="H37" s="20" t="n">
        <v>0.45</v>
      </c>
      <c r="I37" s="19" t="s">
        <v>236</v>
      </c>
      <c r="J37" s="21" t="s">
        <v>237</v>
      </c>
      <c r="K37" s="19" t="s">
        <v>238</v>
      </c>
      <c r="L37" s="22" t="s">
        <v>40</v>
      </c>
      <c r="M37" s="26" t="s">
        <v>239</v>
      </c>
      <c r="N37" s="23" t="s">
        <v>42</v>
      </c>
      <c r="O37" s="23" t="s">
        <v>240</v>
      </c>
      <c r="P37" s="24" t="str">
        <f aca="false">IF(L37="","",IF(G37="inconclusivo","Inconclusivo",IF(L37="nao_aplicavel","Aplicabilidade",IF(L37="nao_verificavel","Não verificável",IF(G37=L37,"Concordância",IF(G37="nao_atende","Falso não atende",IF(G37="atende","Falso atende","Divergência de grau")))))))</f>
        <v>Inconclusivo</v>
      </c>
      <c r="Q37" s="25" t="n">
        <f aca="false">IF(AND(OR(G37="atende",G37="parcial",G37="nao_atende"),OR(L37="atende",L37="parcial",L37="nao_atende")),1,0)</f>
        <v>0</v>
      </c>
      <c r="R37" s="25" t="str">
        <f aca="false">IF(Q37=1,IF(G37=L37,1,0),"")</f>
        <v/>
      </c>
    </row>
    <row r="38" customFormat="false" ht="15.75" hidden="false" customHeight="true" outlineLevel="0" collapsed="false">
      <c r="A38" s="18" t="s">
        <v>116</v>
      </c>
      <c r="B38" s="18" t="n">
        <v>30</v>
      </c>
      <c r="C38" s="18" t="s">
        <v>218</v>
      </c>
      <c r="D38" s="18" t="s">
        <v>98</v>
      </c>
      <c r="E38" s="19" t="s">
        <v>156</v>
      </c>
      <c r="F38" s="18" t="s">
        <v>133</v>
      </c>
      <c r="G38" s="18" t="s">
        <v>40</v>
      </c>
      <c r="H38" s="20" t="n">
        <v>0.85</v>
      </c>
      <c r="I38" s="19" t="s">
        <v>241</v>
      </c>
      <c r="J38" s="21" t="s">
        <v>242</v>
      </c>
      <c r="K38" s="19" t="s">
        <v>243</v>
      </c>
      <c r="L38" s="23" t="s">
        <v>40</v>
      </c>
      <c r="M38" s="23" t="s">
        <v>239</v>
      </c>
      <c r="N38" s="23"/>
      <c r="O38" s="23"/>
      <c r="P38" s="24" t="str">
        <f aca="false">IF(L38="","",IF(G38="inconclusivo","Inconclusivo",IF(L38="nao_aplicavel","Aplicabilidade",IF(L38="nao_verificavel","Não verificável",IF(G38=L38,"Concordância",IF(G38="nao_atende","Falso não atende",IF(G38="atende","Falso atende","Divergência de grau")))))))</f>
        <v>Concordância</v>
      </c>
      <c r="Q38" s="25" t="n">
        <f aca="false">IF(AND(OR(G38="atende",G38="parcial",G38="nao_atende"),OR(L38="atende",L38="parcial",L38="nao_atende")),1,0)</f>
        <v>1</v>
      </c>
      <c r="R38" s="25" t="n">
        <f aca="false">IF(Q38=1,IF(G38=L38,1,0),"")</f>
        <v>1</v>
      </c>
    </row>
    <row r="39" customFormat="false" ht="15.75" hidden="false" customHeight="true" outlineLevel="0" collapsed="false">
      <c r="A39" s="18" t="s">
        <v>116</v>
      </c>
      <c r="B39" s="18" t="n">
        <v>30</v>
      </c>
      <c r="C39" s="18" t="s">
        <v>218</v>
      </c>
      <c r="D39" s="18" t="s">
        <v>34</v>
      </c>
      <c r="E39" s="19" t="s">
        <v>35</v>
      </c>
      <c r="F39" s="18" t="s">
        <v>36</v>
      </c>
      <c r="G39" s="18" t="s">
        <v>80</v>
      </c>
      <c r="H39" s="20" t="n">
        <v>0.45</v>
      </c>
      <c r="I39" s="19" t="s">
        <v>244</v>
      </c>
      <c r="J39" s="21" t="s">
        <v>237</v>
      </c>
      <c r="K39" s="19" t="s">
        <v>245</v>
      </c>
      <c r="L39" s="23" t="s">
        <v>75</v>
      </c>
      <c r="M39" s="23" t="s">
        <v>239</v>
      </c>
      <c r="N39" s="23" t="s">
        <v>42</v>
      </c>
      <c r="O39" s="23" t="s">
        <v>246</v>
      </c>
      <c r="P39" s="24" t="str">
        <f aca="false">IF(L39="","",IF(G39="inconclusivo","Inconclusivo",IF(L39="nao_aplicavel","Aplicabilidade",IF(L39="nao_verificavel","Não verificável",IF(G39=L39,"Concordância",IF(G39="nao_atende","Falso não atende",IF(G39="atende","Falso atende","Divergência de grau")))))))</f>
        <v>Inconclusivo</v>
      </c>
      <c r="Q39" s="25" t="n">
        <f aca="false">IF(AND(OR(G39="atende",G39="parcial",G39="nao_atende"),OR(L39="atende",L39="parcial",L39="nao_atende")),1,0)</f>
        <v>0</v>
      </c>
      <c r="R39" s="25" t="str">
        <f aca="false">IF(Q39=1,IF(G39=L39,1,0),"")</f>
        <v/>
      </c>
    </row>
    <row r="40" customFormat="false" ht="15.75" hidden="false" customHeight="true" outlineLevel="0" collapsed="false">
      <c r="A40" s="18" t="s">
        <v>116</v>
      </c>
      <c r="B40" s="18" t="n">
        <v>30</v>
      </c>
      <c r="C40" s="18" t="s">
        <v>218</v>
      </c>
      <c r="D40" s="18" t="s">
        <v>99</v>
      </c>
      <c r="E40" s="19" t="s">
        <v>162</v>
      </c>
      <c r="F40" s="18" t="s">
        <v>133</v>
      </c>
      <c r="G40" s="18" t="s">
        <v>37</v>
      </c>
      <c r="H40" s="20" t="n">
        <v>0.6</v>
      </c>
      <c r="I40" s="19" t="s">
        <v>247</v>
      </c>
      <c r="J40" s="21" t="s">
        <v>237</v>
      </c>
      <c r="K40" s="19"/>
      <c r="L40" s="23" t="s">
        <v>40</v>
      </c>
      <c r="M40" s="23" t="s">
        <v>248</v>
      </c>
      <c r="N40" s="23" t="s">
        <v>42</v>
      </c>
      <c r="O40" s="23" t="s">
        <v>249</v>
      </c>
      <c r="P40" s="24" t="str">
        <f aca="false">IF(L40="","",IF(G40="inconclusivo","Inconclusivo",IF(L40="nao_aplicavel","Aplicabilidade",IF(L40="nao_verificavel","Não verificável",IF(G40=L40,"Concordância",IF(G40="nao_atende","Falso não atende",IF(G40="atende","Falso atende","Divergência de grau")))))))</f>
        <v>Falso não atende</v>
      </c>
      <c r="Q40" s="25" t="n">
        <f aca="false">IF(AND(OR(G40="atende",G40="parcial",G40="nao_atende"),OR(L40="atende",L40="parcial",L40="nao_atende")),1,0)</f>
        <v>1</v>
      </c>
      <c r="R40" s="25" t="n">
        <f aca="false">IF(Q40=1,IF(G40=L40,1,0),"")</f>
        <v>0</v>
      </c>
    </row>
    <row r="41" customFormat="false" ht="15.75" hidden="false" customHeight="true" outlineLevel="0" collapsed="false">
      <c r="A41" s="18" t="s">
        <v>116</v>
      </c>
      <c r="B41" s="18" t="n">
        <v>30</v>
      </c>
      <c r="C41" s="18" t="s">
        <v>218</v>
      </c>
      <c r="D41" s="18" t="s">
        <v>100</v>
      </c>
      <c r="E41" s="19" t="s">
        <v>164</v>
      </c>
      <c r="F41" s="18" t="s">
        <v>133</v>
      </c>
      <c r="G41" s="18" t="s">
        <v>37</v>
      </c>
      <c r="H41" s="20" t="n">
        <v>0.65</v>
      </c>
      <c r="I41" s="19" t="s">
        <v>250</v>
      </c>
      <c r="J41" s="21" t="s">
        <v>237</v>
      </c>
      <c r="K41" s="19" t="s">
        <v>251</v>
      </c>
      <c r="L41" s="23" t="s">
        <v>40</v>
      </c>
      <c r="M41" s="23" t="s">
        <v>252</v>
      </c>
      <c r="N41" s="23" t="s">
        <v>193</v>
      </c>
      <c r="O41" s="23" t="s">
        <v>253</v>
      </c>
      <c r="P41" s="24" t="str">
        <f aca="false">IF(L41="","",IF(G41="inconclusivo","Inconclusivo",IF(L41="nao_aplicavel","Aplicabilidade",IF(L41="nao_verificavel","Não verificável",IF(G41=L41,"Concordância",IF(G41="nao_atende","Falso não atende",IF(G41="atende","Falso atende","Divergência de grau")))))))</f>
        <v>Falso não atende</v>
      </c>
      <c r="Q41" s="25" t="n">
        <f aca="false">IF(AND(OR(G41="atende",G41="parcial",G41="nao_atende"),OR(L41="atende",L41="parcial",L41="nao_atende")),1,0)</f>
        <v>1</v>
      </c>
      <c r="R41" s="25" t="n">
        <f aca="false">IF(Q41=1,IF(G41=L41,1,0),"")</f>
        <v>0</v>
      </c>
    </row>
    <row r="42" customFormat="false" ht="15.75" hidden="false" customHeight="true" outlineLevel="0" collapsed="false">
      <c r="A42" s="18" t="s">
        <v>116</v>
      </c>
      <c r="B42" s="18" t="n">
        <v>30</v>
      </c>
      <c r="C42" s="18" t="s">
        <v>218</v>
      </c>
      <c r="D42" s="18" t="s">
        <v>101</v>
      </c>
      <c r="E42" s="19" t="s">
        <v>169</v>
      </c>
      <c r="F42" s="18" t="s">
        <v>133</v>
      </c>
      <c r="G42" s="18" t="s">
        <v>80</v>
      </c>
      <c r="H42" s="20" t="n">
        <v>0.4</v>
      </c>
      <c r="I42" s="19" t="s">
        <v>170</v>
      </c>
      <c r="J42" s="21" t="s">
        <v>237</v>
      </c>
      <c r="K42" s="19"/>
      <c r="L42" s="23" t="s">
        <v>40</v>
      </c>
      <c r="M42" s="23" t="s">
        <v>239</v>
      </c>
      <c r="N42" s="23" t="s">
        <v>42</v>
      </c>
      <c r="O42" s="23" t="s">
        <v>254</v>
      </c>
      <c r="P42" s="24" t="str">
        <f aca="false">IF(L42="","",IF(G42="inconclusivo","Inconclusivo",IF(L42="nao_aplicavel","Aplicabilidade",IF(L42="nao_verificavel","Não verificável",IF(G42=L42,"Concordância",IF(G42="nao_atende","Falso não atende",IF(G42="atende","Falso atende","Divergência de grau")))))))</f>
        <v>Inconclusivo</v>
      </c>
      <c r="Q42" s="25" t="n">
        <f aca="false">IF(AND(OR(G42="atende",G42="parcial",G42="nao_atende"),OR(L42="atende",L42="parcial",L42="nao_atende")),1,0)</f>
        <v>0</v>
      </c>
      <c r="R42" s="25" t="str">
        <f aca="false">IF(Q42=1,IF(G42=L42,1,0),"")</f>
        <v/>
      </c>
    </row>
    <row r="43" customFormat="false" ht="15.75" hidden="false" customHeight="true" outlineLevel="0" collapsed="false">
      <c r="A43" s="18" t="s">
        <v>116</v>
      </c>
      <c r="B43" s="18" t="n">
        <v>30</v>
      </c>
      <c r="C43" s="18" t="s">
        <v>218</v>
      </c>
      <c r="D43" s="18" t="s">
        <v>102</v>
      </c>
      <c r="E43" s="19" t="s">
        <v>173</v>
      </c>
      <c r="F43" s="18" t="s">
        <v>36</v>
      </c>
      <c r="G43" s="18" t="s">
        <v>75</v>
      </c>
      <c r="H43" s="20" t="n">
        <v>0.55</v>
      </c>
      <c r="I43" s="19" t="s">
        <v>255</v>
      </c>
      <c r="J43" s="21" t="s">
        <v>256</v>
      </c>
      <c r="K43" s="19" t="s">
        <v>257</v>
      </c>
      <c r="L43" s="23" t="s">
        <v>40</v>
      </c>
      <c r="M43" s="23" t="s">
        <v>258</v>
      </c>
      <c r="N43" s="23" t="s">
        <v>42</v>
      </c>
      <c r="O43" s="23" t="s">
        <v>259</v>
      </c>
      <c r="P43" s="24" t="str">
        <f aca="false">IF(L43="","",IF(G43="inconclusivo","Inconclusivo",IF(L43="nao_aplicavel","Aplicabilidade",IF(L43="nao_verificavel","Não verificável",IF(G43=L43,"Concordância",IF(G43="nao_atende","Falso não atende",IF(G43="atende","Falso atende","Divergência de grau")))))))</f>
        <v>Divergência de grau</v>
      </c>
      <c r="Q43" s="25" t="n">
        <f aca="false">IF(AND(OR(G43="atende",G43="parcial",G43="nao_atende"),OR(L43="atende",L43="parcial",L43="nao_atende")),1,0)</f>
        <v>1</v>
      </c>
      <c r="R43" s="25" t="n">
        <f aca="false">IF(Q43=1,IF(G43=L43,1,0),"")</f>
        <v>0</v>
      </c>
    </row>
    <row r="44" customFormat="false" ht="15.75" hidden="false" customHeight="true" outlineLevel="0" collapsed="false">
      <c r="A44" s="18" t="s">
        <v>116</v>
      </c>
      <c r="B44" s="18" t="n">
        <v>30</v>
      </c>
      <c r="C44" s="18" t="s">
        <v>218</v>
      </c>
      <c r="D44" s="18" t="s">
        <v>103</v>
      </c>
      <c r="E44" s="19" t="s">
        <v>177</v>
      </c>
      <c r="F44" s="18" t="s">
        <v>36</v>
      </c>
      <c r="G44" s="18" t="s">
        <v>40</v>
      </c>
      <c r="H44" s="20" t="n">
        <v>0.75</v>
      </c>
      <c r="I44" s="19" t="s">
        <v>260</v>
      </c>
      <c r="J44" s="21" t="s">
        <v>261</v>
      </c>
      <c r="K44" s="19" t="s">
        <v>262</v>
      </c>
      <c r="L44" s="23" t="s">
        <v>40</v>
      </c>
      <c r="M44" s="23" t="s">
        <v>261</v>
      </c>
      <c r="N44" s="23"/>
      <c r="O44" s="23"/>
      <c r="P44" s="24" t="str">
        <f aca="false">IF(L44="","",IF(G44="inconclusivo","Inconclusivo",IF(L44="nao_aplicavel","Aplicabilidade",IF(L44="nao_verificavel","Não verificável",IF(G44=L44,"Concordância",IF(G44="nao_atende","Falso não atende",IF(G44="atende","Falso atende","Divergência de grau")))))))</f>
        <v>Concordância</v>
      </c>
      <c r="Q44" s="25" t="n">
        <f aca="false">IF(AND(OR(G44="atende",G44="parcial",G44="nao_atende"),OR(L44="atende",L44="parcial",L44="nao_atende")),1,0)</f>
        <v>1</v>
      </c>
      <c r="R44" s="25" t="n">
        <f aca="false">IF(Q44=1,IF(G44=L44,1,0),"")</f>
        <v>1</v>
      </c>
    </row>
    <row r="45" customFormat="false" ht="15.75" hidden="false" customHeight="true" outlineLevel="0" collapsed="false">
      <c r="A45" s="18" t="s">
        <v>116</v>
      </c>
      <c r="B45" s="18" t="n">
        <v>30</v>
      </c>
      <c r="C45" s="18" t="s">
        <v>218</v>
      </c>
      <c r="D45" s="18" t="s">
        <v>104</v>
      </c>
      <c r="E45" s="19" t="s">
        <v>181</v>
      </c>
      <c r="F45" s="18" t="s">
        <v>133</v>
      </c>
      <c r="G45" s="18" t="s">
        <v>80</v>
      </c>
      <c r="H45" s="20" t="n">
        <v>0.35</v>
      </c>
      <c r="I45" s="19" t="s">
        <v>182</v>
      </c>
      <c r="J45" s="21" t="s">
        <v>263</v>
      </c>
      <c r="K45" s="19"/>
      <c r="L45" s="23" t="s">
        <v>78</v>
      </c>
      <c r="M45" s="23" t="s">
        <v>263</v>
      </c>
      <c r="N45" s="23"/>
      <c r="O45" s="23"/>
      <c r="P45" s="24" t="str">
        <f aca="false">IF(L45="","",IF(G45="inconclusivo","Inconclusivo",IF(L45="nao_aplicavel","Aplicabilidade",IF(L45="nao_verificavel","Não verificável",IF(G45=L45,"Concordância",IF(G45="nao_atende","Falso não atende",IF(G45="atende","Falso atende","Divergência de grau")))))))</f>
        <v>Inconclusivo</v>
      </c>
      <c r="Q45" s="25" t="n">
        <f aca="false">IF(AND(OR(G45="atende",G45="parcial",G45="nao_atende"),OR(L45="atende",L45="parcial",L45="nao_atende")),1,0)</f>
        <v>0</v>
      </c>
      <c r="R45" s="25" t="str">
        <f aca="false">IF(Q45=1,IF(G45=L45,1,0),"")</f>
        <v/>
      </c>
    </row>
    <row r="46" customFormat="false" ht="15.75" hidden="false" customHeight="true" outlineLevel="0" collapsed="false">
      <c r="A46" s="18" t="s">
        <v>116</v>
      </c>
      <c r="B46" s="18" t="n">
        <v>30</v>
      </c>
      <c r="C46" s="18" t="s">
        <v>218</v>
      </c>
      <c r="D46" s="18" t="s">
        <v>105</v>
      </c>
      <c r="E46" s="19" t="s">
        <v>185</v>
      </c>
      <c r="F46" s="18" t="s">
        <v>133</v>
      </c>
      <c r="G46" s="18" t="s">
        <v>40</v>
      </c>
      <c r="H46" s="20" t="n">
        <v>0.75</v>
      </c>
      <c r="I46" s="19" t="s">
        <v>264</v>
      </c>
      <c r="J46" s="21" t="s">
        <v>261</v>
      </c>
      <c r="K46" s="19" t="s">
        <v>265</v>
      </c>
      <c r="L46" s="23" t="s">
        <v>40</v>
      </c>
      <c r="M46" s="23" t="s">
        <v>261</v>
      </c>
      <c r="N46" s="23"/>
      <c r="O46" s="23"/>
      <c r="P46" s="24" t="str">
        <f aca="false">IF(L46="","",IF(G46="inconclusivo","Inconclusivo",IF(L46="nao_aplicavel","Aplicabilidade",IF(L46="nao_verificavel","Não verificável",IF(G46=L46,"Concordância",IF(G46="nao_atende","Falso não atende",IF(G46="atende","Falso atende","Divergência de grau")))))))</f>
        <v>Concordância</v>
      </c>
      <c r="Q46" s="25" t="n">
        <f aca="false">IF(AND(OR(G46="atende",G46="parcial",G46="nao_atende"),OR(L46="atende",L46="parcial",L46="nao_atende")),1,0)</f>
        <v>1</v>
      </c>
      <c r="R46" s="25" t="n">
        <f aca="false">IF(Q46=1,IF(G46=L46,1,0),"")</f>
        <v>1</v>
      </c>
    </row>
    <row r="47" customFormat="false" ht="15.75" hidden="false" customHeight="true" outlineLevel="0" collapsed="false">
      <c r="A47" s="18" t="s">
        <v>116</v>
      </c>
      <c r="B47" s="18" t="n">
        <v>30</v>
      </c>
      <c r="C47" s="18" t="s">
        <v>218</v>
      </c>
      <c r="D47" s="18" t="s">
        <v>106</v>
      </c>
      <c r="E47" s="19" t="s">
        <v>189</v>
      </c>
      <c r="F47" s="18" t="s">
        <v>133</v>
      </c>
      <c r="G47" s="18" t="s">
        <v>40</v>
      </c>
      <c r="H47" s="20" t="n">
        <v>0.8</v>
      </c>
      <c r="I47" s="19" t="s">
        <v>266</v>
      </c>
      <c r="J47" s="21" t="s">
        <v>267</v>
      </c>
      <c r="K47" s="19" t="s">
        <v>268</v>
      </c>
      <c r="L47" s="23" t="s">
        <v>40</v>
      </c>
      <c r="M47" s="23" t="s">
        <v>267</v>
      </c>
      <c r="N47" s="23"/>
      <c r="O47" s="23"/>
      <c r="P47" s="24" t="str">
        <f aca="false">IF(L47="","",IF(G47="inconclusivo","Inconclusivo",IF(L47="nao_aplicavel","Aplicabilidade",IF(L47="nao_verificavel","Não verificável",IF(G47=L47,"Concordância",IF(G47="nao_atende","Falso não atende",IF(G47="atende","Falso atende","Divergência de grau")))))))</f>
        <v>Concordância</v>
      </c>
      <c r="Q47" s="25" t="n">
        <f aca="false">IF(AND(OR(G47="atende",G47="parcial",G47="nao_atende"),OR(L47="atende",L47="parcial",L47="nao_atende")),1,0)</f>
        <v>1</v>
      </c>
      <c r="R47" s="25" t="n">
        <f aca="false">IF(Q47=1,IF(G47=L47,1,0),"")</f>
        <v>1</v>
      </c>
    </row>
    <row r="48" customFormat="false" ht="15.75" hidden="false" customHeight="true" outlineLevel="0" collapsed="false">
      <c r="A48" s="18" t="s">
        <v>116</v>
      </c>
      <c r="B48" s="18" t="n">
        <v>30</v>
      </c>
      <c r="C48" s="18" t="s">
        <v>218</v>
      </c>
      <c r="D48" s="18" t="s">
        <v>107</v>
      </c>
      <c r="E48" s="19" t="s">
        <v>195</v>
      </c>
      <c r="F48" s="18" t="s">
        <v>133</v>
      </c>
      <c r="G48" s="18" t="s">
        <v>40</v>
      </c>
      <c r="H48" s="20" t="n">
        <v>0.8</v>
      </c>
      <c r="I48" s="19" t="s">
        <v>269</v>
      </c>
      <c r="J48" s="21" t="s">
        <v>219</v>
      </c>
      <c r="K48" s="19" t="s">
        <v>270</v>
      </c>
      <c r="L48" s="23" t="s">
        <v>40</v>
      </c>
      <c r="M48" s="23" t="s">
        <v>219</v>
      </c>
      <c r="N48" s="23"/>
      <c r="O48" s="23"/>
      <c r="P48" s="24" t="str">
        <f aca="false">IF(L48="","",IF(G48="inconclusivo","Inconclusivo",IF(L48="nao_aplicavel","Aplicabilidade",IF(L48="nao_verificavel","Não verificável",IF(G48=L48,"Concordância",IF(G48="nao_atende","Falso não atende",IF(G48="atende","Falso atende","Divergência de grau")))))))</f>
        <v>Concordância</v>
      </c>
      <c r="Q48" s="25" t="n">
        <f aca="false">IF(AND(OR(G48="atende",G48="parcial",G48="nao_atende"),OR(L48="atende",L48="parcial",L48="nao_atende")),1,0)</f>
        <v>1</v>
      </c>
      <c r="R48" s="25" t="n">
        <f aca="false">IF(Q48=1,IF(G48=L48,1,0),"")</f>
        <v>1</v>
      </c>
    </row>
    <row r="49" customFormat="false" ht="15.75" hidden="false" customHeight="true" outlineLevel="0" collapsed="false">
      <c r="A49" s="18" t="s">
        <v>116</v>
      </c>
      <c r="B49" s="18" t="n">
        <v>30</v>
      </c>
      <c r="C49" s="18" t="s">
        <v>218</v>
      </c>
      <c r="D49" s="18" t="s">
        <v>108</v>
      </c>
      <c r="E49" s="19" t="s">
        <v>198</v>
      </c>
      <c r="F49" s="18" t="s">
        <v>133</v>
      </c>
      <c r="G49" s="18" t="s">
        <v>37</v>
      </c>
      <c r="H49" s="20" t="n">
        <v>0.65</v>
      </c>
      <c r="I49" s="19" t="s">
        <v>271</v>
      </c>
      <c r="J49" s="21" t="s">
        <v>219</v>
      </c>
      <c r="K49" s="19"/>
      <c r="L49" s="23" t="s">
        <v>78</v>
      </c>
      <c r="M49" s="23" t="s">
        <v>219</v>
      </c>
      <c r="N49" s="23" t="s">
        <v>272</v>
      </c>
      <c r="O49" s="23" t="s">
        <v>273</v>
      </c>
      <c r="P49" s="24" t="str">
        <f aca="false">IF(L49="","",IF(G49="inconclusivo","Inconclusivo",IF(L49="nao_aplicavel","Aplicabilidade",IF(L49="nao_verificavel","Não verificável",IF(G49=L49,"Concordância",IF(G49="nao_atende","Falso não atende",IF(G49="atende","Falso atende","Divergência de grau")))))))</f>
        <v>Não verificável</v>
      </c>
      <c r="Q49" s="25" t="n">
        <f aca="false">IF(AND(OR(G49="atende",G49="parcial",G49="nao_atende"),OR(L49="atende",L49="parcial",L49="nao_atende")),1,0)</f>
        <v>0</v>
      </c>
      <c r="R49" s="25" t="str">
        <f aca="false">IF(Q49=1,IF(G49=L49,1,0),"")</f>
        <v/>
      </c>
    </row>
    <row r="50" customFormat="false" ht="15.75" hidden="false" customHeight="true" outlineLevel="0" collapsed="false">
      <c r="A50" s="18" t="s">
        <v>116</v>
      </c>
      <c r="B50" s="18" t="n">
        <v>30</v>
      </c>
      <c r="C50" s="18" t="s">
        <v>218</v>
      </c>
      <c r="D50" s="18" t="s">
        <v>109</v>
      </c>
      <c r="E50" s="19" t="s">
        <v>201</v>
      </c>
      <c r="F50" s="18" t="s">
        <v>202</v>
      </c>
      <c r="G50" s="18" t="s">
        <v>75</v>
      </c>
      <c r="H50" s="20" t="n">
        <v>0.6</v>
      </c>
      <c r="I50" s="19" t="s">
        <v>274</v>
      </c>
      <c r="J50" s="21" t="s">
        <v>275</v>
      </c>
      <c r="K50" s="19" t="s">
        <v>276</v>
      </c>
      <c r="L50" s="23" t="s">
        <v>40</v>
      </c>
      <c r="M50" s="23" t="s">
        <v>277</v>
      </c>
      <c r="N50" s="23" t="s">
        <v>171</v>
      </c>
      <c r="O50" s="23" t="s">
        <v>278</v>
      </c>
      <c r="P50" s="24" t="str">
        <f aca="false">IF(L50="","",IF(G50="inconclusivo","Inconclusivo",IF(L50="nao_aplicavel","Aplicabilidade",IF(L50="nao_verificavel","Não verificável",IF(G50=L50,"Concordância",IF(G50="nao_atende","Falso não atende",IF(G50="atende","Falso atende","Divergência de grau")))))))</f>
        <v>Divergência de grau</v>
      </c>
      <c r="Q50" s="25" t="n">
        <f aca="false">IF(AND(OR(G50="atende",G50="parcial",G50="nao_atende"),OR(L50="atende",L50="parcial",L50="nao_atende")),1,0)</f>
        <v>1</v>
      </c>
      <c r="R50" s="25" t="n">
        <f aca="false">IF(Q50=1,IF(G50=L50,1,0),"")</f>
        <v>0</v>
      </c>
    </row>
    <row r="51" customFormat="false" ht="15.75" hidden="false" customHeight="true" outlineLevel="0" collapsed="false">
      <c r="A51" s="18" t="s">
        <v>116</v>
      </c>
      <c r="B51" s="18" t="n">
        <v>30</v>
      </c>
      <c r="C51" s="18" t="s">
        <v>218</v>
      </c>
      <c r="D51" s="18" t="s">
        <v>110</v>
      </c>
      <c r="E51" s="19" t="s">
        <v>204</v>
      </c>
      <c r="F51" s="18" t="s">
        <v>202</v>
      </c>
      <c r="G51" s="18" t="s">
        <v>40</v>
      </c>
      <c r="H51" s="20" t="n">
        <v>0.8</v>
      </c>
      <c r="I51" s="19" t="s">
        <v>279</v>
      </c>
      <c r="J51" s="21" t="s">
        <v>280</v>
      </c>
      <c r="K51" s="19" t="s">
        <v>281</v>
      </c>
      <c r="L51" s="23" t="s">
        <v>40</v>
      </c>
      <c r="M51" s="23" t="s">
        <v>248</v>
      </c>
      <c r="N51" s="23"/>
      <c r="O51" s="23"/>
      <c r="P51" s="24" t="str">
        <f aca="false">IF(L51="","",IF(G51="inconclusivo","Inconclusivo",IF(L51="nao_aplicavel","Aplicabilidade",IF(L51="nao_verificavel","Não verificável",IF(G51=L51,"Concordância",IF(G51="nao_atende","Falso não atende",IF(G51="atende","Falso atende","Divergência de grau")))))))</f>
        <v>Concordância</v>
      </c>
      <c r="Q51" s="25" t="n">
        <f aca="false">IF(AND(OR(G51="atende",G51="parcial",G51="nao_atende"),OR(L51="atende",L51="parcial",L51="nao_atende")),1,0)</f>
        <v>1</v>
      </c>
      <c r="R51" s="25" t="n">
        <f aca="false">IF(Q51=1,IF(G51=L51,1,0),"")</f>
        <v>1</v>
      </c>
    </row>
    <row r="52" customFormat="false" ht="15.75" hidden="false" customHeight="true" outlineLevel="0" collapsed="false">
      <c r="A52" s="18" t="s">
        <v>116</v>
      </c>
      <c r="B52" s="18" t="n">
        <v>30</v>
      </c>
      <c r="C52" s="18" t="s">
        <v>218</v>
      </c>
      <c r="D52" s="18" t="s">
        <v>111</v>
      </c>
      <c r="E52" s="19" t="s">
        <v>206</v>
      </c>
      <c r="F52" s="18" t="s">
        <v>36</v>
      </c>
      <c r="G52" s="18" t="s">
        <v>75</v>
      </c>
      <c r="H52" s="20" t="n">
        <v>0.55</v>
      </c>
      <c r="I52" s="19" t="s">
        <v>282</v>
      </c>
      <c r="J52" s="21" t="s">
        <v>283</v>
      </c>
      <c r="K52" s="19" t="s">
        <v>284</v>
      </c>
      <c r="L52" s="23" t="s">
        <v>75</v>
      </c>
      <c r="M52" s="23" t="s">
        <v>285</v>
      </c>
      <c r="N52" s="23"/>
      <c r="O52" s="23"/>
      <c r="P52" s="24" t="str">
        <f aca="false">IF(L52="","",IF(G52="inconclusivo","Inconclusivo",IF(L52="nao_aplicavel","Aplicabilidade",IF(L52="nao_verificavel","Não verificável",IF(G52=L52,"Concordância",IF(G52="nao_atende","Falso não atende",IF(G52="atende","Falso atende","Divergência de grau")))))))</f>
        <v>Concordância</v>
      </c>
      <c r="Q52" s="25" t="n">
        <f aca="false">IF(AND(OR(G52="atende",G52="parcial",G52="nao_atende"),OR(L52="atende",L52="parcial",L52="nao_atende")),1,0)</f>
        <v>1</v>
      </c>
      <c r="R52" s="25" t="n">
        <f aca="false">IF(Q52=1,IF(G52=L52,1,0),"")</f>
        <v>1</v>
      </c>
    </row>
    <row r="53" customFormat="false" ht="15.75" hidden="false" customHeight="true" outlineLevel="0" collapsed="false">
      <c r="A53" s="18" t="s">
        <v>116</v>
      </c>
      <c r="B53" s="18" t="n">
        <v>30</v>
      </c>
      <c r="C53" s="18" t="s">
        <v>218</v>
      </c>
      <c r="D53" s="18" t="s">
        <v>112</v>
      </c>
      <c r="E53" s="19" t="s">
        <v>209</v>
      </c>
      <c r="F53" s="18" t="s">
        <v>36</v>
      </c>
      <c r="G53" s="18" t="s">
        <v>75</v>
      </c>
      <c r="H53" s="20" t="n">
        <v>0.55</v>
      </c>
      <c r="I53" s="19" t="s">
        <v>286</v>
      </c>
      <c r="J53" s="21" t="s">
        <v>287</v>
      </c>
      <c r="K53" s="19" t="s">
        <v>288</v>
      </c>
      <c r="L53" s="23" t="s">
        <v>75</v>
      </c>
      <c r="M53" s="23" t="s">
        <v>289</v>
      </c>
      <c r="N53" s="23"/>
      <c r="O53" s="23"/>
      <c r="P53" s="24" t="str">
        <f aca="false">IF(L53="","",IF(G53="inconclusivo","Inconclusivo",IF(L53="nao_aplicavel","Aplicabilidade",IF(L53="nao_verificavel","Não verificável",IF(G53=L53,"Concordância",IF(G53="nao_atende","Falso não atende",IF(G53="atende","Falso atende","Divergência de grau")))))))</f>
        <v>Concordância</v>
      </c>
      <c r="Q53" s="25" t="n">
        <f aca="false">IF(AND(OR(G53="atende",G53="parcial",G53="nao_atende"),OR(L53="atende",L53="parcial",L53="nao_atende")),1,0)</f>
        <v>1</v>
      </c>
      <c r="R53" s="25" t="n">
        <f aca="false">IF(Q53=1,IF(G53=L53,1,0),"")</f>
        <v>1</v>
      </c>
    </row>
    <row r="54" customFormat="false" ht="15.75" hidden="false" customHeight="true" outlineLevel="0" collapsed="false">
      <c r="A54" s="18" t="s">
        <v>116</v>
      </c>
      <c r="B54" s="18" t="n">
        <v>30</v>
      </c>
      <c r="C54" s="18" t="s">
        <v>218</v>
      </c>
      <c r="D54" s="18" t="s">
        <v>113</v>
      </c>
      <c r="E54" s="19" t="s">
        <v>212</v>
      </c>
      <c r="F54" s="18" t="s">
        <v>36</v>
      </c>
      <c r="G54" s="18" t="s">
        <v>75</v>
      </c>
      <c r="H54" s="20" t="n">
        <v>0.55</v>
      </c>
      <c r="I54" s="19" t="s">
        <v>290</v>
      </c>
      <c r="J54" s="21" t="s">
        <v>291</v>
      </c>
      <c r="K54" s="19" t="s">
        <v>292</v>
      </c>
      <c r="L54" s="23" t="s">
        <v>75</v>
      </c>
      <c r="M54" s="23" t="s">
        <v>293</v>
      </c>
      <c r="N54" s="23"/>
      <c r="O54" s="23"/>
      <c r="P54" s="24" t="str">
        <f aca="false">IF(L54="","",IF(G54="inconclusivo","Inconclusivo",IF(L54="nao_aplicavel","Aplicabilidade",IF(L54="nao_verificavel","Não verificável",IF(G54=L54,"Concordância",IF(G54="nao_atende","Falso não atende",IF(G54="atende","Falso atende","Divergência de grau")))))))</f>
        <v>Concordância</v>
      </c>
      <c r="Q54" s="25" t="n">
        <f aca="false">IF(AND(OR(G54="atende",G54="parcial",G54="nao_atende"),OR(L54="atende",L54="parcial",L54="nao_atende")),1,0)</f>
        <v>1</v>
      </c>
      <c r="R54" s="25" t="n">
        <f aca="false">IF(Q54=1,IF(G54=L54,1,0),"")</f>
        <v>1</v>
      </c>
    </row>
    <row r="55" customFormat="false" ht="15.75" hidden="false" customHeight="true" outlineLevel="0" collapsed="false">
      <c r="A55" s="18" t="s">
        <v>116</v>
      </c>
      <c r="B55" s="18" t="n">
        <v>30</v>
      </c>
      <c r="C55" s="18" t="s">
        <v>218</v>
      </c>
      <c r="D55" s="18" t="s">
        <v>114</v>
      </c>
      <c r="E55" s="19" t="s">
        <v>215</v>
      </c>
      <c r="F55" s="18" t="s">
        <v>36</v>
      </c>
      <c r="G55" s="18" t="s">
        <v>80</v>
      </c>
      <c r="H55" s="20" t="n">
        <v>0.4</v>
      </c>
      <c r="I55" s="19" t="s">
        <v>294</v>
      </c>
      <c r="J55" s="21" t="s">
        <v>289</v>
      </c>
      <c r="K55" s="19"/>
      <c r="L55" s="23" t="s">
        <v>40</v>
      </c>
      <c r="M55" s="23" t="s">
        <v>252</v>
      </c>
      <c r="N55" s="23" t="s">
        <v>171</v>
      </c>
      <c r="O55" s="23" t="s">
        <v>295</v>
      </c>
      <c r="P55" s="24" t="str">
        <f aca="false">IF(L55="","",IF(G55="inconclusivo","Inconclusivo",IF(L55="nao_aplicavel","Aplicabilidade",IF(L55="nao_verificavel","Não verificável",IF(G55=L55,"Concordância",IF(G55="nao_atende","Falso não atende",IF(G55="atende","Falso atende","Divergência de grau")))))))</f>
        <v>Inconclusivo</v>
      </c>
      <c r="Q55" s="25" t="n">
        <f aca="false">IF(AND(OR(G55="atende",G55="parcial",G55="nao_atende"),OR(L55="atende",L55="parcial",L55="nao_atende")),1,0)</f>
        <v>0</v>
      </c>
      <c r="R55" s="25" t="str">
        <f aca="false">IF(Q55=1,IF(G55=L55,1,0),"")</f>
        <v/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P2:P55">
    <cfRule type="cellIs" priority="2" operator="equal" aboveAverage="0" equalAverage="0" bottom="0" percent="0" rank="0" text="" dxfId="0">
      <formula>"Concordância"</formula>
    </cfRule>
    <cfRule type="cellIs" priority="3" operator="equal" aboveAverage="0" equalAverage="0" bottom="0" percent="0" rank="0" text="" dxfId="1">
      <formula>"Falso não atende"</formula>
    </cfRule>
    <cfRule type="cellIs" priority="4" operator="equal" aboveAverage="0" equalAverage="0" bottom="0" percent="0" rank="0" text="" dxfId="1">
      <formula>"Falso atende"</formula>
    </cfRule>
    <cfRule type="cellIs" priority="5" operator="equal" aboveAverage="0" equalAverage="0" bottom="0" percent="0" rank="0" text="" dxfId="2">
      <formula>"Divergência de grau"</formula>
    </cfRule>
  </conditionalFormatting>
  <dataValidations count="1">
    <dataValidation allowBlank="true" errorStyle="stop" operator="between" showDropDown="false" showErrorMessage="false" showInputMessage="false" sqref="L2:L55" type="list">
      <formula1>"atende,parcial,nao_atende,nao_aplicavel,nao_verificavel"</formula1>
      <formula2>0</formula2>
    </dataValidation>
  </dataValidations>
  <hyperlinks>
    <hyperlink ref="J2" r:id="rId2" display="https://japeri.rj.gov.br/"/>
    <hyperlink ref="J3" r:id="rId3" display="https://japeri.rj.gov.br/links/"/>
    <hyperlink ref="J4" r:id="rId4" display="https://japeri.rj.gov.br/"/>
    <hyperlink ref="J5" r:id="rId5" display="https://japeri.geosiap.net.br/portal-transparencia/api-docs#!/RH_-_Servidores/get_rh_servidores_organograma"/>
    <hyperlink ref="J6" r:id="rId6" display="https://japeri.rj.gov.br/"/>
    <hyperlink ref="J7" r:id="rId7" display="https://japeri.rj.gov.br/"/>
    <hyperlink ref="J8" r:id="rId8" display="https://japeri.geosiap.net.br/portal-transparencia"/>
    <hyperlink ref="J9" r:id="rId9" display="https://japeri.rj.gov.br/contato/"/>
    <hyperlink ref="J10" r:id="rId10" display="https://japeri.geosiap.net.br/portal-transparencia/api/execucao/receitas/proprias/receitas_proprias?id_entidade=10&amp;ano=2026&amp;layout=anual"/>
    <hyperlink ref="J11" r:id="rId11" display="https://online.swagger.io/validator/debug?url=https://japeri.geosiap.net.br/portal-transparencia/api-docs/v1/swagger.json"/>
    <hyperlink ref="J12" r:id="rId12" display="https://japeri.geosiap.net.br/portal-transparencia/api/execucao/empenhos/empenhos?id_entidade=10&amp;ano=2026"/>
    <hyperlink ref="J13" r:id="rId13" display="https://online.swagger.io/validator/debug?url=https://japeri.geosiap.net.br/portal-transparencia/api-docs/v1/swagger.json"/>
    <hyperlink ref="J14" r:id="rId14" display="https://japeri.geosiap.net.br/portal-transparencia/api-docs#!/Execucao_-_Despesas_Detalhadas/get_execucao_despesas_detalhadas_empenhos"/>
    <hyperlink ref="J15" r:id="rId15" display="https://japeri.geosiap.net.br/portal-transparencia/api-docs#!/Execucao_-_Despesas_Detalhadas/get_execucao_despesas_detalhadas_empenhos"/>
    <hyperlink ref="J16" r:id="rId16" display="https://japeri.rj.gov.br/"/>
    <hyperlink ref="J17" r:id="rId17" display="https://japeri.rj.gov.br/"/>
    <hyperlink ref="J18" r:id="rId18" display="https://japeri.rj.gov.br/service/acesso-a-informacao/"/>
    <hyperlink ref="J19" r:id="rId19" display="https://japeri.rj.gov.br/service/acesso-a-informacao/"/>
    <hyperlink ref="J20" r:id="rId20" display="https://japeri.rj.gov.br/team/secretaria-municipal-de-obras-e-servicos-publicos/"/>
    <hyperlink ref="J21" r:id="rId21" display="https://japeri.geosiap.net.br/portal-transparencia"/>
    <hyperlink ref="J22" r:id="rId22" display="https://japeri.geosiap.net.br/portal-transparencia"/>
    <hyperlink ref="J23" r:id="rId23" display="https://japeri.rj.gov.br/"/>
    <hyperlink ref="J24" r:id="rId24" display="https://online.swagger.io/validator/debug?url=https://japeri.geosiap.net.br/portal-transparencia/api-docs/v1/swagger.json"/>
    <hyperlink ref="J25" r:id="rId25" display="https://japeri.rj.gov.br/"/>
    <hyperlink ref="J26" r:id="rId26" display="https://japeri.rj.gov.br/"/>
    <hyperlink ref="J27" r:id="rId27" display="https://japeri.rj.gov.br/"/>
    <hyperlink ref="J28" r:id="rId28" display="https://japeri.rj.gov.br/"/>
    <hyperlink ref="J29" r:id="rId29" display="https://prefeitura.rio/"/>
    <hyperlink ref="M29" r:id="rId30" display="https://prefeitura.rio/"/>
    <hyperlink ref="J30" r:id="rId31" display="https://transparencia.prefeitura.rio"/>
    <hyperlink ref="M30" r:id="rId32" display="https://transparencia.prefeitura.rio/"/>
    <hyperlink ref="J31" r:id="rId33" display="https://prefeitura.rio/"/>
    <hyperlink ref="M31" r:id="rId34" display="https://prefeitura.rio/"/>
    <hyperlink ref="J32" r:id="rId35" display="https://transparencia.prefeitura.rio/perguntas-frequentes/"/>
    <hyperlink ref="M32" r:id="rId36" display="https://transparencia.prefeitura.rio/perguntas-frequentes/"/>
    <hyperlink ref="J33" r:id="rId37" display="https://prefeitura.rio/"/>
    <hyperlink ref="M33" r:id="rId38" display="https://prefeitura.rio/"/>
    <hyperlink ref="J34" r:id="rId39" display="https://transparencia.prefeitura.rio/perguntas-frequentes/"/>
    <hyperlink ref="M34" r:id="rId40" display="https://transparencia.prefeitura.rio/perguntas-frequentes/"/>
    <hyperlink ref="J35" r:id="rId41" display="https://ouvidoria.prefeitura.rio"/>
    <hyperlink ref="M35" r:id="rId42" display="https://ouvidoria.prefeitura.rio/"/>
    <hyperlink ref="J36" r:id="rId43" display="https://ouvidoria.prefeitura.rio"/>
    <hyperlink ref="M36" r:id="rId44" display="https://ouvidoria.prefeitura.rio/"/>
    <hyperlink ref="J37" r:id="rId45" display="https://transparencia.prefeitura.rio/planejamento-e-prestacao-de-contas/receitas-e-despesas/"/>
    <hyperlink ref="M37" r:id="rId46" display="https://www.rio.rj.gov.br/web/contasrio/dados-abertos"/>
    <hyperlink ref="J38" r:id="rId47" display="https://transparencia.prefeitura.rio/wp-content/uploads/sites/100/2023/07/Demonstrativo-7-Estimativa-e-Compensacao-de-Renuncia-de-Receita-2026.pdf"/>
    <hyperlink ref="J39" r:id="rId48" display="https://transparencia.prefeitura.rio/planejamento-e-prestacao-de-contas/receitas-e-despesas/"/>
    <hyperlink ref="J40" r:id="rId49" display="https://transparencia.prefeitura.rio/planejamento-e-prestacao-de-contas/receitas-e-despesas/"/>
    <hyperlink ref="J41" r:id="rId50" display="https://transparencia.prefeitura.rio/planejamento-e-prestacao-de-contas/receitas-e-despesas/"/>
    <hyperlink ref="J42" r:id="rId51" display="https://transparencia.prefeitura.rio/planejamento-e-prestacao-de-contas/receitas-e-despesas/"/>
    <hyperlink ref="J43" r:id="rId52" display="https://transparencia.prefeitura.rio/contas-publicas/plano-de-execucoes-orcamentaria-e-de-gestao-fiscal"/>
    <hyperlink ref="J44" r:id="rId53" display="https://transparencia.prefeitura.rio/acesso-a-informacao/pedido-de-informacao/"/>
    <hyperlink ref="J45" r:id="rId54" display="https://transparencia.prefeitura.rio/perguntas-frequentes/pedidos-de-acesso-a-informacao/"/>
    <hyperlink ref="J46" r:id="rId55" display="https://transparencia.prefeitura.rio/acesso-a-informacao/pedido-de-informacao/"/>
    <hyperlink ref="J47" r:id="rId56" display="https://transparencia.prefeitura.rio/acesso-a-informacao/"/>
    <hyperlink ref="J48" r:id="rId57" display="https://prefeitura.rio/"/>
    <hyperlink ref="J49" r:id="rId58" display="https://prefeitura.rio/"/>
    <hyperlink ref="J50" r:id="rId59" display="https://lgpd.prefeitura.rio/trilha-de-formacao-em-privacidade-e-protecao-de-dados-pessoais/"/>
    <hyperlink ref="J51" r:id="rId60" display="https://transparencia.prefeitura.rio/wp-content/uploads/sites/100/2023/07/Base-de-dados-Renuncia-de-Receita-Base-unica-21a25.xlsx"/>
    <hyperlink ref="J52" r:id="rId61" display="https://transparencia.prefeitura.rio/contas-publicas/plano-plurianual-ppa"/>
    <hyperlink ref="J53" r:id="rId62" display="https://transparencia.prefeitura.rio/contas-publicas/lei-de-diretrizes-orcamentarias-ldo"/>
    <hyperlink ref="J54" r:id="rId63" display="https://transparencia.prefeitura.rio/contas-publicas/lei-de-orcamento-anual-loa"/>
    <hyperlink ref="J55" r:id="rId64" display="https://transparencia.prefeitura.rio/planejamento-e-prestacao-de-contas/lei-de-diretrizes-orcamentarias-ldo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27" t="s">
        <v>171</v>
      </c>
    </row>
    <row r="2" customFormat="false" ht="15" hidden="false" customHeight="false" outlineLevel="0" collapsed="false">
      <c r="A2" s="27" t="s">
        <v>42</v>
      </c>
    </row>
    <row r="3" customFormat="false" ht="15" hidden="false" customHeight="false" outlineLevel="0" collapsed="false">
      <c r="A3" s="27" t="s">
        <v>167</v>
      </c>
    </row>
    <row r="4" customFormat="false" ht="15" hidden="false" customHeight="false" outlineLevel="0" collapsed="false">
      <c r="A4" s="27" t="s">
        <v>296</v>
      </c>
    </row>
    <row r="5" customFormat="false" ht="15" hidden="false" customHeight="false" outlineLevel="0" collapsed="false">
      <c r="A5" s="27" t="s">
        <v>193</v>
      </c>
    </row>
    <row r="6" customFormat="false" ht="15" hidden="false" customHeight="false" outlineLevel="0" collapsed="false">
      <c r="A6" s="27" t="s">
        <v>297</v>
      </c>
    </row>
    <row r="7" customFormat="false" ht="15" hidden="false" customHeight="false" outlineLevel="0" collapsed="false">
      <c r="A7" s="27" t="s">
        <v>298</v>
      </c>
    </row>
    <row r="8" customFormat="false" ht="15" hidden="false" customHeight="false" outlineLevel="0" collapsed="false">
      <c r="A8" s="27" t="s">
        <v>272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40"/>
    <col collapsed="false" customWidth="true" hidden="false" outlineLevel="0" max="6" min="5" style="0" width="12"/>
    <col collapsed="false" customWidth="true" hidden="false" outlineLevel="0" max="7" min="7" style="0" width="22"/>
    <col collapsed="false" customWidth="true" hidden="false" outlineLevel="0" max="26" min="8" style="0" width="8.71"/>
  </cols>
  <sheetData>
    <row r="1" customFormat="false" ht="26.85" hidden="false" customHeight="false" outlineLevel="0" collapsed="false">
      <c r="A1" s="4" t="s">
        <v>299</v>
      </c>
      <c r="B1" s="4" t="s">
        <v>20</v>
      </c>
      <c r="C1" s="4" t="s">
        <v>300</v>
      </c>
      <c r="D1" s="4" t="s">
        <v>301</v>
      </c>
      <c r="E1" s="4" t="s">
        <v>302</v>
      </c>
      <c r="F1" s="4" t="s">
        <v>303</v>
      </c>
      <c r="G1" s="4" t="s">
        <v>304</v>
      </c>
    </row>
    <row r="2" customFormat="false" ht="15" hidden="false" customHeight="false" outlineLevel="0" collapsed="false">
      <c r="A2" s="28"/>
      <c r="B2" s="28"/>
      <c r="C2" s="28"/>
      <c r="D2" s="28"/>
      <c r="E2" s="28"/>
      <c r="F2" s="28"/>
      <c r="G2" s="28"/>
    </row>
    <row r="3" customFormat="false" ht="15" hidden="false" customHeight="false" outlineLevel="0" collapsed="false">
      <c r="A3" s="28"/>
      <c r="B3" s="28"/>
      <c r="C3" s="28"/>
      <c r="D3" s="28"/>
      <c r="E3" s="28"/>
      <c r="F3" s="28"/>
      <c r="G3" s="28"/>
    </row>
    <row r="4" customFormat="false" ht="15" hidden="false" customHeight="false" outlineLevel="0" collapsed="false">
      <c r="A4" s="28"/>
      <c r="B4" s="28"/>
      <c r="C4" s="28"/>
      <c r="D4" s="28"/>
      <c r="E4" s="28"/>
      <c r="F4" s="28"/>
      <c r="G4" s="28"/>
    </row>
    <row r="5" customFormat="false" ht="15" hidden="false" customHeight="false" outlineLevel="0" collapsed="false">
      <c r="A5" s="28"/>
      <c r="B5" s="28"/>
      <c r="C5" s="28"/>
      <c r="D5" s="28"/>
      <c r="E5" s="28"/>
      <c r="F5" s="28"/>
      <c r="G5" s="28"/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</row>
    <row r="21" customFormat="false" ht="15.75" hidden="false" customHeight="true" outlineLevel="0" collapsed="false">
      <c r="A21" s="28"/>
      <c r="B21" s="28"/>
      <c r="C21" s="28"/>
      <c r="D21" s="28"/>
      <c r="E21" s="28"/>
      <c r="F21" s="28"/>
      <c r="G21" s="28"/>
    </row>
    <row r="22" customFormat="false" ht="15.75" hidden="false" customHeight="true" outlineLevel="0" collapsed="false">
      <c r="A22" s="28"/>
      <c r="B22" s="28"/>
      <c r="C22" s="28"/>
      <c r="D22" s="28"/>
      <c r="E22" s="28"/>
      <c r="F22" s="28"/>
      <c r="G22" s="28"/>
    </row>
    <row r="23" customFormat="false" ht="15.75" hidden="false" customHeight="true" outlineLevel="0" collapsed="false">
      <c r="A23" s="28"/>
      <c r="B23" s="28"/>
      <c r="C23" s="28"/>
      <c r="D23" s="28"/>
      <c r="E23" s="28"/>
      <c r="F23" s="28"/>
      <c r="G23" s="28"/>
    </row>
    <row r="24" customFormat="false" ht="15.75" hidden="false" customHeight="true" outlineLevel="0" collapsed="false">
      <c r="A24" s="28"/>
      <c r="B24" s="28"/>
      <c r="C24" s="28"/>
      <c r="D24" s="28"/>
      <c r="E24" s="28"/>
      <c r="F24" s="28"/>
      <c r="G24" s="28"/>
    </row>
    <row r="25" customFormat="false" ht="15.75" hidden="false" customHeight="true" outlineLevel="0" collapsed="false">
      <c r="A25" s="28"/>
      <c r="B25" s="28"/>
      <c r="C25" s="28"/>
      <c r="D25" s="28"/>
      <c r="E25" s="28"/>
      <c r="F25" s="28"/>
      <c r="G25" s="28"/>
    </row>
    <row r="26" customFormat="false" ht="15.75" hidden="false" customHeight="true" outlineLevel="0" collapsed="false">
      <c r="A26" s="28"/>
      <c r="B26" s="28"/>
      <c r="C26" s="28"/>
      <c r="D26" s="28"/>
      <c r="E26" s="28"/>
      <c r="F26" s="28"/>
      <c r="G26" s="28"/>
    </row>
    <row r="27" customFormat="false" ht="15.75" hidden="false" customHeight="true" outlineLevel="0" collapsed="false">
      <c r="A27" s="28"/>
      <c r="B27" s="28"/>
      <c r="C27" s="28"/>
      <c r="D27" s="28"/>
      <c r="E27" s="28"/>
      <c r="F27" s="28"/>
      <c r="G27" s="28"/>
    </row>
    <row r="28" customFormat="false" ht="15.75" hidden="false" customHeight="true" outlineLevel="0" collapsed="false">
      <c r="A28" s="28"/>
      <c r="B28" s="28"/>
      <c r="C28" s="28"/>
      <c r="D28" s="28"/>
      <c r="E28" s="28"/>
      <c r="F28" s="28"/>
      <c r="G28" s="28"/>
    </row>
    <row r="29" customFormat="false" ht="15.75" hidden="false" customHeight="true" outlineLevel="0" collapsed="false">
      <c r="A29" s="28"/>
      <c r="B29" s="28"/>
      <c r="C29" s="28"/>
      <c r="D29" s="28"/>
      <c r="E29" s="28"/>
      <c r="F29" s="28"/>
      <c r="G29" s="28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